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ajal\OneDrive\Desktop\"/>
    </mc:Choice>
  </mc:AlternateContent>
  <xr:revisionPtr revIDLastSave="0" documentId="13_ncr:1_{8B7B1D21-6583-4A48-AD52-3193BB49E6A3}" xr6:coauthVersionLast="47" xr6:coauthVersionMax="47" xr10:uidLastSave="{00000000-0000-0000-0000-000000000000}"/>
  <bookViews>
    <workbookView xWindow="-108" yWindow="-108" windowWidth="23256" windowHeight="12456" firstSheet="2" activeTab="7" xr2:uid="{00000000-000D-0000-FFFF-FFFF00000000}"/>
  </bookViews>
  <sheets>
    <sheet name="Project Instructions" sheetId="1" r:id="rId1"/>
    <sheet name="Regression" sheetId="4" r:id="rId2"/>
    <sheet name="Region" sheetId="5" r:id="rId3"/>
    <sheet name="Category" sheetId="7" r:id="rId4"/>
    <sheet name="years of Amount" sheetId="8" r:id="rId5"/>
    <sheet name="customer segment" sheetId="6" r:id="rId6"/>
    <sheet name="Product name" sheetId="9" r:id="rId7"/>
    <sheet name="Sheet5" sheetId="10" r:id="rId8"/>
    <sheet name="Final Project Dataset " sheetId="3" r:id="rId9"/>
  </sheets>
  <definedNames>
    <definedName name="_xlnm._FilterDatabase" localSheetId="6" hidden="1">'Product name'!$A$3:$B$14</definedName>
    <definedName name="Slicer_Customer_Segment">#N/A</definedName>
    <definedName name="Slicer_Months__Date">#N/A</definedName>
    <definedName name="Slicer_Product_Name">#N/A</definedName>
    <definedName name="Slicer_Region">#N/A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6" i="10" l="1"/>
  <c r="Z12" i="3"/>
  <c r="Y12" i="3" a="1"/>
  <c r="Y12" i="3" s="1"/>
  <c r="Y10" i="3"/>
  <c r="X3" i="3" a="1"/>
  <c r="X3" i="3" s="1"/>
  <c r="V2" i="3" a="1"/>
  <c r="V2" i="3" s="1"/>
  <c r="U251" i="3"/>
  <c r="T251" i="3"/>
  <c r="S251" i="3"/>
  <c r="U250" i="3"/>
  <c r="T250" i="3"/>
  <c r="S250" i="3"/>
  <c r="U249" i="3"/>
  <c r="T249" i="3"/>
  <c r="S249" i="3"/>
  <c r="U248" i="3"/>
  <c r="T248" i="3"/>
  <c r="S248" i="3"/>
  <c r="U247" i="3"/>
  <c r="T247" i="3"/>
  <c r="S247" i="3"/>
  <c r="U246" i="3"/>
  <c r="T246" i="3"/>
  <c r="S246" i="3"/>
  <c r="U245" i="3"/>
  <c r="T245" i="3"/>
  <c r="S245" i="3"/>
  <c r="U244" i="3"/>
  <c r="T244" i="3"/>
  <c r="S244" i="3"/>
  <c r="U243" i="3"/>
  <c r="T243" i="3"/>
  <c r="S243" i="3"/>
  <c r="U242" i="3"/>
  <c r="T242" i="3"/>
  <c r="S242" i="3"/>
  <c r="U241" i="3"/>
  <c r="T241" i="3"/>
  <c r="S241" i="3"/>
  <c r="U240" i="3"/>
  <c r="T240" i="3"/>
  <c r="S240" i="3"/>
  <c r="U239" i="3"/>
  <c r="T239" i="3"/>
  <c r="S239" i="3"/>
  <c r="U238" i="3"/>
  <c r="T238" i="3"/>
  <c r="S238" i="3"/>
  <c r="U237" i="3"/>
  <c r="T237" i="3"/>
  <c r="S237" i="3"/>
  <c r="U236" i="3"/>
  <c r="T236" i="3"/>
  <c r="S236" i="3"/>
  <c r="U235" i="3"/>
  <c r="T235" i="3"/>
  <c r="S235" i="3"/>
  <c r="U234" i="3"/>
  <c r="T234" i="3"/>
  <c r="S234" i="3"/>
  <c r="U233" i="3"/>
  <c r="T233" i="3"/>
  <c r="S233" i="3"/>
  <c r="U232" i="3"/>
  <c r="T232" i="3"/>
  <c r="S232" i="3"/>
  <c r="U231" i="3"/>
  <c r="T231" i="3"/>
  <c r="S231" i="3"/>
  <c r="U230" i="3"/>
  <c r="T230" i="3"/>
  <c r="S230" i="3"/>
  <c r="U229" i="3"/>
  <c r="T229" i="3"/>
  <c r="S229" i="3"/>
  <c r="U228" i="3"/>
  <c r="T228" i="3"/>
  <c r="S228" i="3"/>
  <c r="U227" i="3"/>
  <c r="T227" i="3"/>
  <c r="S227" i="3"/>
  <c r="U226" i="3"/>
  <c r="T226" i="3"/>
  <c r="S226" i="3"/>
  <c r="U225" i="3"/>
  <c r="T225" i="3"/>
  <c r="S225" i="3"/>
  <c r="U224" i="3"/>
  <c r="T224" i="3"/>
  <c r="S224" i="3"/>
  <c r="U223" i="3"/>
  <c r="T223" i="3"/>
  <c r="S223" i="3"/>
  <c r="U222" i="3"/>
  <c r="T222" i="3"/>
  <c r="S222" i="3"/>
  <c r="U221" i="3"/>
  <c r="T221" i="3"/>
  <c r="S221" i="3"/>
  <c r="U220" i="3"/>
  <c r="T220" i="3"/>
  <c r="S220" i="3"/>
  <c r="U219" i="3"/>
  <c r="T219" i="3"/>
  <c r="S219" i="3"/>
  <c r="U218" i="3"/>
  <c r="T218" i="3"/>
  <c r="S218" i="3"/>
  <c r="U217" i="3"/>
  <c r="T217" i="3"/>
  <c r="S217" i="3"/>
  <c r="U216" i="3"/>
  <c r="T216" i="3"/>
  <c r="S216" i="3"/>
  <c r="U215" i="3"/>
  <c r="T215" i="3"/>
  <c r="S215" i="3"/>
  <c r="U214" i="3"/>
  <c r="T214" i="3"/>
  <c r="S214" i="3"/>
  <c r="U213" i="3"/>
  <c r="T213" i="3"/>
  <c r="S213" i="3"/>
  <c r="U212" i="3"/>
  <c r="T212" i="3"/>
  <c r="S212" i="3"/>
  <c r="U211" i="3"/>
  <c r="T211" i="3"/>
  <c r="S211" i="3"/>
  <c r="U210" i="3"/>
  <c r="T210" i="3"/>
  <c r="S210" i="3"/>
  <c r="U209" i="3"/>
  <c r="T209" i="3"/>
  <c r="S209" i="3"/>
  <c r="U208" i="3"/>
  <c r="T208" i="3"/>
  <c r="S208" i="3"/>
  <c r="U207" i="3"/>
  <c r="T207" i="3"/>
  <c r="S207" i="3"/>
  <c r="U206" i="3"/>
  <c r="T206" i="3"/>
  <c r="S206" i="3"/>
  <c r="U205" i="3"/>
  <c r="T205" i="3"/>
  <c r="S205" i="3"/>
  <c r="U204" i="3"/>
  <c r="T204" i="3"/>
  <c r="S204" i="3"/>
  <c r="U203" i="3"/>
  <c r="T203" i="3"/>
  <c r="S203" i="3"/>
  <c r="U202" i="3"/>
  <c r="T202" i="3"/>
  <c r="S202" i="3"/>
  <c r="U201" i="3"/>
  <c r="T201" i="3"/>
  <c r="S201" i="3"/>
  <c r="U200" i="3"/>
  <c r="T200" i="3"/>
  <c r="S200" i="3"/>
  <c r="U199" i="3"/>
  <c r="T199" i="3"/>
  <c r="S199" i="3"/>
  <c r="U198" i="3"/>
  <c r="T198" i="3"/>
  <c r="S198" i="3"/>
  <c r="U197" i="3"/>
  <c r="T197" i="3"/>
  <c r="S197" i="3"/>
  <c r="U196" i="3"/>
  <c r="T196" i="3"/>
  <c r="S196" i="3"/>
  <c r="U195" i="3"/>
  <c r="T195" i="3"/>
  <c r="S195" i="3"/>
  <c r="U194" i="3"/>
  <c r="T194" i="3"/>
  <c r="S194" i="3"/>
  <c r="U193" i="3"/>
  <c r="T193" i="3"/>
  <c r="S193" i="3"/>
  <c r="U192" i="3"/>
  <c r="T192" i="3"/>
  <c r="S192" i="3"/>
  <c r="U191" i="3"/>
  <c r="T191" i="3"/>
  <c r="S191" i="3"/>
  <c r="U190" i="3"/>
  <c r="T190" i="3"/>
  <c r="S190" i="3"/>
  <c r="U189" i="3"/>
  <c r="T189" i="3"/>
  <c r="S189" i="3"/>
  <c r="U188" i="3"/>
  <c r="T188" i="3"/>
  <c r="S188" i="3"/>
  <c r="U187" i="3"/>
  <c r="T187" i="3"/>
  <c r="S187" i="3"/>
  <c r="U186" i="3"/>
  <c r="T186" i="3"/>
  <c r="S186" i="3"/>
  <c r="U185" i="3"/>
  <c r="T185" i="3"/>
  <c r="S185" i="3"/>
  <c r="U184" i="3"/>
  <c r="T184" i="3"/>
  <c r="S184" i="3"/>
  <c r="U183" i="3"/>
  <c r="T183" i="3"/>
  <c r="S183" i="3"/>
  <c r="U182" i="3"/>
  <c r="T182" i="3"/>
  <c r="S182" i="3"/>
  <c r="U181" i="3"/>
  <c r="T181" i="3"/>
  <c r="S181" i="3"/>
  <c r="U180" i="3"/>
  <c r="T180" i="3"/>
  <c r="S180" i="3"/>
  <c r="U179" i="3"/>
  <c r="T179" i="3"/>
  <c r="S179" i="3"/>
  <c r="U178" i="3"/>
  <c r="T178" i="3"/>
  <c r="S178" i="3"/>
  <c r="U177" i="3"/>
  <c r="T177" i="3"/>
  <c r="S177" i="3"/>
  <c r="U176" i="3"/>
  <c r="T176" i="3"/>
  <c r="S176" i="3"/>
  <c r="U175" i="3"/>
  <c r="T175" i="3"/>
  <c r="S175" i="3"/>
  <c r="U174" i="3"/>
  <c r="T174" i="3"/>
  <c r="S174" i="3"/>
  <c r="U173" i="3"/>
  <c r="T173" i="3"/>
  <c r="S173" i="3"/>
  <c r="U172" i="3"/>
  <c r="T172" i="3"/>
  <c r="S172" i="3"/>
  <c r="U171" i="3"/>
  <c r="T171" i="3"/>
  <c r="S171" i="3"/>
  <c r="U170" i="3"/>
  <c r="T170" i="3"/>
  <c r="S170" i="3"/>
  <c r="U169" i="3"/>
  <c r="T169" i="3"/>
  <c r="S169" i="3"/>
  <c r="U168" i="3"/>
  <c r="T168" i="3"/>
  <c r="S168" i="3"/>
  <c r="U167" i="3"/>
  <c r="T167" i="3"/>
  <c r="S167" i="3"/>
  <c r="U166" i="3"/>
  <c r="T166" i="3"/>
  <c r="S166" i="3"/>
  <c r="U165" i="3"/>
  <c r="T165" i="3"/>
  <c r="S165" i="3"/>
  <c r="U164" i="3"/>
  <c r="T164" i="3"/>
  <c r="S164" i="3"/>
  <c r="U163" i="3"/>
  <c r="T163" i="3"/>
  <c r="S163" i="3"/>
  <c r="U162" i="3"/>
  <c r="T162" i="3"/>
  <c r="S162" i="3"/>
  <c r="U161" i="3"/>
  <c r="T161" i="3"/>
  <c r="S161" i="3"/>
  <c r="U160" i="3"/>
  <c r="T160" i="3"/>
  <c r="S160" i="3"/>
  <c r="U159" i="3"/>
  <c r="T159" i="3"/>
  <c r="S159" i="3"/>
  <c r="U158" i="3"/>
  <c r="T158" i="3"/>
  <c r="S158" i="3"/>
  <c r="U157" i="3"/>
  <c r="T157" i="3"/>
  <c r="S157" i="3"/>
  <c r="U156" i="3"/>
  <c r="T156" i="3"/>
  <c r="S156" i="3"/>
  <c r="U155" i="3"/>
  <c r="T155" i="3"/>
  <c r="S155" i="3"/>
  <c r="U154" i="3"/>
  <c r="T154" i="3"/>
  <c r="S154" i="3"/>
  <c r="U153" i="3"/>
  <c r="T153" i="3"/>
  <c r="S153" i="3"/>
  <c r="U152" i="3"/>
  <c r="T152" i="3"/>
  <c r="S152" i="3"/>
  <c r="U151" i="3"/>
  <c r="T151" i="3"/>
  <c r="S151" i="3"/>
  <c r="U150" i="3"/>
  <c r="T150" i="3"/>
  <c r="S150" i="3"/>
  <c r="U149" i="3"/>
  <c r="T149" i="3"/>
  <c r="S149" i="3"/>
  <c r="U148" i="3"/>
  <c r="T148" i="3"/>
  <c r="S148" i="3"/>
  <c r="U147" i="3"/>
  <c r="T147" i="3"/>
  <c r="S147" i="3"/>
  <c r="U146" i="3"/>
  <c r="T146" i="3"/>
  <c r="S146" i="3"/>
  <c r="U145" i="3"/>
  <c r="T145" i="3"/>
  <c r="S145" i="3"/>
  <c r="U144" i="3"/>
  <c r="T144" i="3"/>
  <c r="S144" i="3"/>
  <c r="U143" i="3"/>
  <c r="T143" i="3"/>
  <c r="S143" i="3"/>
  <c r="U142" i="3"/>
  <c r="T142" i="3"/>
  <c r="S142" i="3"/>
  <c r="U141" i="3"/>
  <c r="T141" i="3"/>
  <c r="S141" i="3"/>
  <c r="U140" i="3"/>
  <c r="T140" i="3"/>
  <c r="S140" i="3"/>
  <c r="U139" i="3"/>
  <c r="T139" i="3"/>
  <c r="S139" i="3"/>
  <c r="U138" i="3"/>
  <c r="T138" i="3"/>
  <c r="S138" i="3"/>
  <c r="U137" i="3"/>
  <c r="T137" i="3"/>
  <c r="S137" i="3"/>
  <c r="U136" i="3"/>
  <c r="T136" i="3"/>
  <c r="S136" i="3"/>
  <c r="U135" i="3"/>
  <c r="T135" i="3"/>
  <c r="S135" i="3"/>
  <c r="U134" i="3"/>
  <c r="T134" i="3"/>
  <c r="S134" i="3"/>
  <c r="U133" i="3"/>
  <c r="T133" i="3"/>
  <c r="S133" i="3"/>
  <c r="U132" i="3"/>
  <c r="T132" i="3"/>
  <c r="S132" i="3"/>
  <c r="U131" i="3"/>
  <c r="T131" i="3"/>
  <c r="S131" i="3"/>
  <c r="U130" i="3"/>
  <c r="T130" i="3"/>
  <c r="S130" i="3"/>
  <c r="U129" i="3"/>
  <c r="T129" i="3"/>
  <c r="S129" i="3"/>
  <c r="U128" i="3"/>
  <c r="T128" i="3"/>
  <c r="S128" i="3"/>
  <c r="U127" i="3"/>
  <c r="T127" i="3"/>
  <c r="S127" i="3"/>
  <c r="U126" i="3"/>
  <c r="T126" i="3"/>
  <c r="S126" i="3"/>
  <c r="U125" i="3"/>
  <c r="T125" i="3"/>
  <c r="S125" i="3"/>
  <c r="U124" i="3"/>
  <c r="T124" i="3"/>
  <c r="S124" i="3"/>
  <c r="U123" i="3"/>
  <c r="T123" i="3"/>
  <c r="S123" i="3"/>
  <c r="U122" i="3"/>
  <c r="T122" i="3"/>
  <c r="S122" i="3"/>
  <c r="U121" i="3"/>
  <c r="T121" i="3"/>
  <c r="S121" i="3"/>
  <c r="U120" i="3"/>
  <c r="T120" i="3"/>
  <c r="S120" i="3"/>
  <c r="U119" i="3"/>
  <c r="T119" i="3"/>
  <c r="S119" i="3"/>
  <c r="U118" i="3"/>
  <c r="T118" i="3"/>
  <c r="S118" i="3"/>
  <c r="U117" i="3"/>
  <c r="T117" i="3"/>
  <c r="S117" i="3"/>
  <c r="U116" i="3"/>
  <c r="T116" i="3"/>
  <c r="S116" i="3"/>
  <c r="U115" i="3"/>
  <c r="T115" i="3"/>
  <c r="S115" i="3"/>
  <c r="U114" i="3"/>
  <c r="T114" i="3"/>
  <c r="S114" i="3"/>
  <c r="U113" i="3"/>
  <c r="T113" i="3"/>
  <c r="S113" i="3"/>
  <c r="U112" i="3"/>
  <c r="T112" i="3"/>
  <c r="S112" i="3"/>
  <c r="U111" i="3"/>
  <c r="T111" i="3"/>
  <c r="S111" i="3"/>
  <c r="U110" i="3"/>
  <c r="T110" i="3"/>
  <c r="S110" i="3"/>
  <c r="U109" i="3"/>
  <c r="T109" i="3"/>
  <c r="S109" i="3"/>
  <c r="U108" i="3"/>
  <c r="T108" i="3"/>
  <c r="S108" i="3"/>
  <c r="U107" i="3"/>
  <c r="T107" i="3"/>
  <c r="S107" i="3"/>
  <c r="U106" i="3"/>
  <c r="T106" i="3"/>
  <c r="S106" i="3"/>
  <c r="U105" i="3"/>
  <c r="T105" i="3"/>
  <c r="S105" i="3"/>
  <c r="U104" i="3"/>
  <c r="T104" i="3"/>
  <c r="S104" i="3"/>
  <c r="U103" i="3"/>
  <c r="T103" i="3"/>
  <c r="S103" i="3"/>
  <c r="U102" i="3"/>
  <c r="T102" i="3"/>
  <c r="S102" i="3"/>
  <c r="U101" i="3"/>
  <c r="T101" i="3"/>
  <c r="S101" i="3"/>
  <c r="U100" i="3"/>
  <c r="T100" i="3"/>
  <c r="S100" i="3"/>
  <c r="U99" i="3"/>
  <c r="T99" i="3"/>
  <c r="S99" i="3"/>
  <c r="U98" i="3"/>
  <c r="T98" i="3"/>
  <c r="S98" i="3"/>
  <c r="U97" i="3"/>
  <c r="T97" i="3"/>
  <c r="S97" i="3"/>
  <c r="U96" i="3"/>
  <c r="T96" i="3"/>
  <c r="S96" i="3"/>
  <c r="U95" i="3"/>
  <c r="T95" i="3"/>
  <c r="S95" i="3"/>
  <c r="U94" i="3"/>
  <c r="T94" i="3"/>
  <c r="S94" i="3"/>
  <c r="U93" i="3"/>
  <c r="T93" i="3"/>
  <c r="S93" i="3"/>
  <c r="U92" i="3"/>
  <c r="T92" i="3"/>
  <c r="S92" i="3"/>
  <c r="U91" i="3"/>
  <c r="T91" i="3"/>
  <c r="S91" i="3"/>
  <c r="U90" i="3"/>
  <c r="T90" i="3"/>
  <c r="S90" i="3"/>
  <c r="U89" i="3"/>
  <c r="T89" i="3"/>
  <c r="S89" i="3"/>
  <c r="U88" i="3"/>
  <c r="T88" i="3"/>
  <c r="S88" i="3"/>
  <c r="U87" i="3"/>
  <c r="T87" i="3"/>
  <c r="S87" i="3"/>
  <c r="U86" i="3"/>
  <c r="T86" i="3"/>
  <c r="S86" i="3"/>
  <c r="U85" i="3"/>
  <c r="T85" i="3"/>
  <c r="S85" i="3"/>
  <c r="U84" i="3"/>
  <c r="T84" i="3"/>
  <c r="S84" i="3"/>
  <c r="U83" i="3"/>
  <c r="T83" i="3"/>
  <c r="S83" i="3"/>
  <c r="U82" i="3"/>
  <c r="T82" i="3"/>
  <c r="S82" i="3"/>
  <c r="U81" i="3"/>
  <c r="T81" i="3"/>
  <c r="S81" i="3"/>
  <c r="U80" i="3"/>
  <c r="T80" i="3"/>
  <c r="S80" i="3"/>
  <c r="U79" i="3"/>
  <c r="T79" i="3"/>
  <c r="S79" i="3"/>
  <c r="U78" i="3"/>
  <c r="T78" i="3"/>
  <c r="S78" i="3"/>
  <c r="U77" i="3"/>
  <c r="T77" i="3"/>
  <c r="S77" i="3"/>
  <c r="U76" i="3"/>
  <c r="T76" i="3"/>
  <c r="S76" i="3"/>
  <c r="U75" i="3"/>
  <c r="T75" i="3"/>
  <c r="S75" i="3"/>
  <c r="U74" i="3"/>
  <c r="T74" i="3"/>
  <c r="S74" i="3"/>
  <c r="U73" i="3"/>
  <c r="T73" i="3"/>
  <c r="S73" i="3"/>
  <c r="U72" i="3"/>
  <c r="T72" i="3"/>
  <c r="S72" i="3"/>
  <c r="U71" i="3"/>
  <c r="T71" i="3"/>
  <c r="S71" i="3"/>
  <c r="U70" i="3"/>
  <c r="T70" i="3"/>
  <c r="S70" i="3"/>
  <c r="U69" i="3"/>
  <c r="T69" i="3"/>
  <c r="S69" i="3"/>
  <c r="U68" i="3"/>
  <c r="T68" i="3"/>
  <c r="S68" i="3"/>
  <c r="U67" i="3"/>
  <c r="T67" i="3"/>
  <c r="S67" i="3"/>
  <c r="U66" i="3"/>
  <c r="T66" i="3"/>
  <c r="S66" i="3"/>
  <c r="U65" i="3"/>
  <c r="T65" i="3"/>
  <c r="S65" i="3"/>
  <c r="U64" i="3"/>
  <c r="T64" i="3"/>
  <c r="S64" i="3"/>
  <c r="U63" i="3"/>
  <c r="T63" i="3"/>
  <c r="S63" i="3"/>
  <c r="U62" i="3"/>
  <c r="T62" i="3"/>
  <c r="S62" i="3"/>
  <c r="U61" i="3"/>
  <c r="T61" i="3"/>
  <c r="S61" i="3"/>
  <c r="U60" i="3"/>
  <c r="T60" i="3"/>
  <c r="S60" i="3"/>
  <c r="U59" i="3"/>
  <c r="T59" i="3"/>
  <c r="S59" i="3"/>
  <c r="U58" i="3"/>
  <c r="T58" i="3"/>
  <c r="S58" i="3"/>
  <c r="U57" i="3"/>
  <c r="T57" i="3"/>
  <c r="S57" i="3"/>
  <c r="U56" i="3"/>
  <c r="T56" i="3"/>
  <c r="S56" i="3"/>
  <c r="U55" i="3"/>
  <c r="T55" i="3"/>
  <c r="S55" i="3"/>
  <c r="U54" i="3"/>
  <c r="T54" i="3"/>
  <c r="S54" i="3"/>
  <c r="U53" i="3"/>
  <c r="T53" i="3"/>
  <c r="S53" i="3"/>
  <c r="U52" i="3"/>
  <c r="T52" i="3"/>
  <c r="S52" i="3"/>
  <c r="U51" i="3"/>
  <c r="T51" i="3"/>
  <c r="S51" i="3"/>
  <c r="U50" i="3"/>
  <c r="T50" i="3"/>
  <c r="S50" i="3"/>
  <c r="U49" i="3"/>
  <c r="T49" i="3"/>
  <c r="S49" i="3"/>
  <c r="U48" i="3"/>
  <c r="T48" i="3"/>
  <c r="S48" i="3"/>
  <c r="U47" i="3"/>
  <c r="T47" i="3"/>
  <c r="S47" i="3"/>
  <c r="U46" i="3"/>
  <c r="T46" i="3"/>
  <c r="S46" i="3"/>
  <c r="U45" i="3"/>
  <c r="T45" i="3"/>
  <c r="S45" i="3"/>
  <c r="U44" i="3"/>
  <c r="T44" i="3"/>
  <c r="S44" i="3"/>
  <c r="U43" i="3"/>
  <c r="T43" i="3"/>
  <c r="S43" i="3"/>
  <c r="U42" i="3"/>
  <c r="T42" i="3"/>
  <c r="S42" i="3"/>
  <c r="U41" i="3"/>
  <c r="T41" i="3"/>
  <c r="S41" i="3"/>
  <c r="U40" i="3"/>
  <c r="T40" i="3"/>
  <c r="S40" i="3"/>
  <c r="U39" i="3"/>
  <c r="T39" i="3"/>
  <c r="S39" i="3"/>
  <c r="U38" i="3"/>
  <c r="T38" i="3"/>
  <c r="S38" i="3"/>
  <c r="U37" i="3"/>
  <c r="T37" i="3"/>
  <c r="S37" i="3"/>
  <c r="U36" i="3"/>
  <c r="T36" i="3"/>
  <c r="S36" i="3"/>
  <c r="U35" i="3"/>
  <c r="T35" i="3"/>
  <c r="S35" i="3"/>
  <c r="U34" i="3"/>
  <c r="T34" i="3"/>
  <c r="S34" i="3"/>
  <c r="U33" i="3"/>
  <c r="T33" i="3"/>
  <c r="S33" i="3"/>
  <c r="U32" i="3"/>
  <c r="T32" i="3"/>
  <c r="S32" i="3"/>
  <c r="U31" i="3"/>
  <c r="T31" i="3"/>
  <c r="S31" i="3"/>
  <c r="U30" i="3"/>
  <c r="T30" i="3"/>
  <c r="S30" i="3"/>
  <c r="U29" i="3"/>
  <c r="T29" i="3"/>
  <c r="S29" i="3"/>
  <c r="U28" i="3"/>
  <c r="T28" i="3"/>
  <c r="S28" i="3"/>
  <c r="U27" i="3"/>
  <c r="T27" i="3"/>
  <c r="S27" i="3"/>
  <c r="U26" i="3"/>
  <c r="T26" i="3"/>
  <c r="S26" i="3"/>
  <c r="U25" i="3"/>
  <c r="T25" i="3"/>
  <c r="S25" i="3"/>
  <c r="U24" i="3"/>
  <c r="T24" i="3"/>
  <c r="S24" i="3"/>
  <c r="U23" i="3"/>
  <c r="T23" i="3"/>
  <c r="S23" i="3"/>
  <c r="U22" i="3"/>
  <c r="T22" i="3"/>
  <c r="S22" i="3"/>
  <c r="U21" i="3"/>
  <c r="T21" i="3"/>
  <c r="S21" i="3"/>
  <c r="U20" i="3"/>
  <c r="T20" i="3"/>
  <c r="S20" i="3"/>
  <c r="U19" i="3"/>
  <c r="T19" i="3"/>
  <c r="S19" i="3"/>
  <c r="U18" i="3"/>
  <c r="T18" i="3"/>
  <c r="S18" i="3"/>
  <c r="U17" i="3"/>
  <c r="T17" i="3"/>
  <c r="S17" i="3"/>
  <c r="U16" i="3"/>
  <c r="T16" i="3"/>
  <c r="S16" i="3"/>
  <c r="U15" i="3"/>
  <c r="T15" i="3"/>
  <c r="S15" i="3"/>
  <c r="U14" i="3"/>
  <c r="T14" i="3"/>
  <c r="S14" i="3"/>
  <c r="U13" i="3"/>
  <c r="T13" i="3"/>
  <c r="S13" i="3"/>
  <c r="U12" i="3"/>
  <c r="T12" i="3"/>
  <c r="S12" i="3"/>
  <c r="U11" i="3"/>
  <c r="T11" i="3"/>
  <c r="S11" i="3"/>
  <c r="U10" i="3"/>
  <c r="T10" i="3"/>
  <c r="S10" i="3"/>
  <c r="U9" i="3"/>
  <c r="T9" i="3"/>
  <c r="S9" i="3"/>
  <c r="U8" i="3"/>
  <c r="T8" i="3"/>
  <c r="S8" i="3"/>
  <c r="U7" i="3"/>
  <c r="T7" i="3"/>
  <c r="S7" i="3"/>
  <c r="U6" i="3"/>
  <c r="T6" i="3"/>
  <c r="S6" i="3"/>
  <c r="U5" i="3"/>
  <c r="T5" i="3"/>
  <c r="S5" i="3"/>
  <c r="W4" i="3" a="1"/>
  <c r="W4" i="3" s="1"/>
  <c r="U4" i="3"/>
  <c r="T4" i="3"/>
  <c r="S4" i="3"/>
  <c r="U3" i="3"/>
  <c r="T3" i="3"/>
  <c r="S3" i="3"/>
  <c r="U2" i="3"/>
  <c r="T2" i="3"/>
  <c r="S2" i="3"/>
  <c r="G1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<sst xmlns="http://schemas.openxmlformats.org/spreadsheetml/2006/main" count="2356" uniqueCount="454">
  <si>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</si>
  <si>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</si>
  <si>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</si>
  <si>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</si>
  <si>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</si>
  <si>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</si>
  <si>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</si>
  <si>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</si>
  <si>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</si>
  <si>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</si>
  <si>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</si>
  <si>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</si>
  <si>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</si>
  <si>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</si>
  <si>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</si>
  <si>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</si>
  <si>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</si>
  <si>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</si>
  <si>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</si>
  <si>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</si>
  <si>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</si>
  <si>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</si>
  <si>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</si>
  <si>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</si>
  <si>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</si>
  <si>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</si>
  <si>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</si>
  <si>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</si>
  <si>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</si>
  <si>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</si>
  <si>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</si>
  <si>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</si>
  <si>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</si>
  <si>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</si>
  <si>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</si>
  <si>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</si>
  <si>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</si>
  <si>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</si>
  <si>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</si>
  <si>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</si>
  <si>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</si>
  <si>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</si>
  <si>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</si>
  <si>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</si>
  <si>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</si>
  <si>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</si>
  <si>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</si>
  <si>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</si>
  <si>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</si>
  <si>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</si>
  <si>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</si>
  <si>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</si>
  <si>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</si>
  <si>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</si>
  <si>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</si>
  <si>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</si>
  <si>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</si>
  <si>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</si>
  <si>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</si>
  <si>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</si>
  <si>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</si>
  <si>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</si>
  <si>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</si>
  <si>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</si>
  <si>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</si>
  <si>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</si>
  <si>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</si>
  <si>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</si>
  <si>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</si>
  <si>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</si>
  <si>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</si>
  <si>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</si>
  <si>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</si>
  <si>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</si>
  <si>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</si>
  <si>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</si>
  <si>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</si>
  <si>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</si>
  <si>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</si>
  <si>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</si>
  <si>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</si>
  <si>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</si>
  <si>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</si>
  <si>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</si>
  <si>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</si>
  <si>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</si>
  <si>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</si>
  <si>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</si>
  <si>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</si>
  <si>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</si>
  <si>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</si>
  <si>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</si>
  <si>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</si>
  <si>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</si>
  <si>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</si>
  <si>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</si>
  <si>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</si>
  <si>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</si>
  <si>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</si>
  <si>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</si>
  <si>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</si>
  <si>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</si>
  <si>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</si>
  <si>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</si>
  <si>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</si>
  <si>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</si>
  <si>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</si>
  <si>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</si>
  <si>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</si>
  <si>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</si>
  <si>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</si>
  <si>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</si>
  <si>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</si>
  <si>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</si>
  <si>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</si>
  <si>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</si>
  <si>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</si>
  <si>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</si>
  <si>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</si>
  <si>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</si>
  <si>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</si>
  <si>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</si>
  <si>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</si>
  <si>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</si>
  <si>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</si>
  <si>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</si>
  <si>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</si>
  <si>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</si>
  <si>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</si>
  <si>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</si>
  <si>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</si>
  <si>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</si>
  <si>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</si>
  <si>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</si>
  <si>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</si>
  <si>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</si>
  <si>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</si>
  <si>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</si>
  <si>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</si>
  <si>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</si>
  <si>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</si>
  <si>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</si>
  <si>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</si>
  <si>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</si>
  <si>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</si>
  <si>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</si>
  <si>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</si>
  <si>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</si>
  <si>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</si>
  <si>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</si>
  <si>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</si>
  <si>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</si>
  <si>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</si>
  <si>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</si>
  <si>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</si>
  <si>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</si>
  <si>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</si>
  <si>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</si>
  <si>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</si>
  <si>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</si>
  <si>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</si>
  <si>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</si>
  <si>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</si>
  <si>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</si>
  <si>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</si>
  <si>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</si>
  <si>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</si>
  <si>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</si>
  <si>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</si>
  <si>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</si>
  <si>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</si>
  <si>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</si>
  <si>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</si>
  <si>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</si>
  <si>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</si>
  <si>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</si>
  <si>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</si>
  <si>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</si>
  <si>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</si>
  <si>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</si>
  <si>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</si>
  <si>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</si>
  <si>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</si>
  <si>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</si>
  <si>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</si>
  <si>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</si>
  <si>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</si>
  <si>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</si>
  <si>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</si>
  <si>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</si>
  <si>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</si>
  <si>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</si>
  <si>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</si>
  <si>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</si>
  <si>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</si>
  <si>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</si>
  <si>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</si>
  <si>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</si>
  <si>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</si>
  <si>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</si>
  <si>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</si>
  <si>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</si>
  <si>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</si>
  <si>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</si>
  <si>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</si>
  <si>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</si>
  <si>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</si>
  <si>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</si>
  <si>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</si>
  <si>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</si>
  <si>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</si>
  <si>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</si>
  <si>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</si>
  <si>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</si>
  <si>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</si>
  <si>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</si>
  <si>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</si>
  <si>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</si>
  <si>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</si>
  <si>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</si>
  <si>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</si>
  <si>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</si>
  <si>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</si>
  <si>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</si>
  <si>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</si>
  <si>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</si>
  <si>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</si>
  <si>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</si>
  <si>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</si>
  <si>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</si>
  <si>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</si>
  <si>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</si>
  <si>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</si>
  <si>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</si>
  <si>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</si>
  <si>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</si>
  <si>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</si>
  <si>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</si>
  <si>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</si>
  <si>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</si>
  <si>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</si>
  <si>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</si>
  <si>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</si>
  <si>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</si>
  <si>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</si>
  <si>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</si>
  <si>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</si>
  <si>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</si>
  <si>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</si>
  <si>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</si>
  <si>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</si>
  <si>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</si>
  <si>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</si>
  <si>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</si>
  <si>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</si>
  <si>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</si>
  <si>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</si>
  <si>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</si>
  <si>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</si>
  <si>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</si>
  <si>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</si>
  <si>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</si>
  <si>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</si>
  <si>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</si>
  <si>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</si>
  <si>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</si>
  <si>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</si>
  <si>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</si>
  <si>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</si>
  <si>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</si>
  <si>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</si>
  <si>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</si>
  <si>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</si>
  <si>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</si>
  <si>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</si>
  <si>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</si>
  <si>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</si>
  <si>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</si>
  <si>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</si>
  <si>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</si>
  <si>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</si>
  <si>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</si>
  <si>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</si>
  <si>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</si>
  <si>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</si>
  <si>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</si>
  <si>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</si>
  <si>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</si>
  <si>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</si>
  <si>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</si>
  <si>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</si>
  <si>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</si>
  <si>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</si>
  <si>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</si>
  <si>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</si>
  <si>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</si>
  <si>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</si>
  <si>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</si>
  <si>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</si>
  <si>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</si>
  <si>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</si>
  <si>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</si>
  <si>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</si>
  <si>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</si>
  <si>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</si>
  <si>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</si>
  <si>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</si>
  <si>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</si>
  <si>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</si>
  <si>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</si>
  <si>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</si>
  <si>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</si>
  <si>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</si>
  <si>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</si>
  <si>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</si>
  <si>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</si>
  <si>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</si>
  <si>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</si>
  <si>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</si>
  <si>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</si>
  <si>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</si>
  <si>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</si>
  <si>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</si>
  <si>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</si>
  <si>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</si>
  <si>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</si>
  <si>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</si>
  <si>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</si>
  <si>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</si>
  <si>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</si>
  <si>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</si>
  <si>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</si>
  <si>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</si>
  <si>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</si>
  <si>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</si>
  <si>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</si>
  <si>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</si>
  <si>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</si>
  <si>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</si>
  <si>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</si>
  <si>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</si>
  <si>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</si>
  <si>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</si>
  <si>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</si>
  <si>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</si>
  <si>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</si>
  <si>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</si>
  <si>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</si>
  <si>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</si>
  <si>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</si>
  <si>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</si>
  <si>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</si>
  <si>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</si>
  <si>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</si>
  <si>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</si>
  <si>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</si>
  <si>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</si>
  <si>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</si>
  <si>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</si>
  <si>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</si>
  <si>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</si>
  <si>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</si>
  <si>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</si>
  <si>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</si>
  <si>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</si>
  <si>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</si>
  <si>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</si>
  <si>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</si>
  <si>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</si>
  <si>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</si>
  <si>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</si>
  <si>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</si>
  <si>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</si>
  <si>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</si>
  <si>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</si>
  <si>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</si>
  <si>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</si>
  <si>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</si>
  <si>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</si>
  <si>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</si>
  <si>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</si>
  <si>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</si>
  <si>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</si>
  <si>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</si>
  <si>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</si>
  <si>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</si>
  <si>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</si>
  <si>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</si>
  <si>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</si>
  <si>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</si>
  <si>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</si>
  <si>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</si>
  <si>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</si>
  <si>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</si>
  <si>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</si>
  <si>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</si>
  <si>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</si>
  <si>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</si>
  <si>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</si>
  <si>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NOW TIME</t>
  </si>
  <si>
    <t>TODAY</t>
  </si>
  <si>
    <t>Last date</t>
  </si>
  <si>
    <t>Datedif</t>
  </si>
  <si>
    <t xml:space="preserve">  </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</si>
  <si>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</si>
  <si>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</si>
  <si>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</si>
  <si>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</si>
  <si>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</si>
  <si>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</si>
  <si>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</si>
  <si>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</si>
  <si>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</si>
  <si>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</si>
  <si>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</si>
  <si>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</si>
  <si>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</si>
  <si>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</si>
  <si>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</si>
  <si>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</si>
  <si>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</si>
  <si>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</si>
  <si>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</si>
  <si>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</si>
  <si>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</si>
  <si>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</si>
  <si>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</si>
  <si>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</si>
  <si>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 </t>
  </si>
  <si>
    <t>Unit_price</t>
  </si>
  <si>
    <t>Filtar function</t>
  </si>
  <si>
    <t>Grand total</t>
  </si>
  <si>
    <t>Top selling product</t>
  </si>
  <si>
    <t>Row Labels</t>
  </si>
  <si>
    <t>Grand Total</t>
  </si>
  <si>
    <t>Sum of Total_Amount</t>
  </si>
  <si>
    <t xml:space="preserve">   </t>
  </si>
  <si>
    <t>Count of Payment_Method</t>
  </si>
  <si>
    <t>2024</t>
  </si>
  <si>
    <t>2025</t>
  </si>
  <si>
    <t>Apr</t>
  </si>
  <si>
    <t>May</t>
  </si>
  <si>
    <t>Jun</t>
  </si>
  <si>
    <t>Jul</t>
  </si>
  <si>
    <t>Aug</t>
  </si>
  <si>
    <t>Sep</t>
  </si>
  <si>
    <t>Oct</t>
  </si>
  <si>
    <t>Nov</t>
  </si>
  <si>
    <t>Dec</t>
  </si>
  <si>
    <t>Jan</t>
  </si>
  <si>
    <t>Feb</t>
  </si>
  <si>
    <t>Mar</t>
  </si>
  <si>
    <t xml:space="preserve"> 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</si>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</sst>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4009]yyyy/mm/dd;@"/>
    <numFmt numFmtId="166" formatCode="_ [$₹-4009]\ * #,##0.00_ ;_ [$₹-4009]\ * \-#,##0.00_ ;_ [$₹-4009]\ * &quot;-&quot;??_ ;_ @_ "/>
  </numFmts>
  <fonts count="9"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i/>
      <sz val="11"/>
      <color theme="1"/>
      <name val="Calibri"/>
      <family val="2"/>
      <scheme val="minor"/>
    </font>
  </fonts>
  <fills count="14">
    <fill>
      <patternFill patternType="none"/>
    </fill>
    <fill>
      <patternFill patternType="gray125"/>
    </fill>
    <fill>
      <patternFill patternType="solid">
        <fgColor rgb="FFFFF2CC"/>
        <bgColor rgb="FFFFF2CC"/>
      </patternFill>
    </fill>
    <fill>
      <patternFill patternType="solid">
        <fgColor theme="5"/>
        <bgColor indexed="64"/>
      </patternFill>
    </fill>
    <fill>
      <patternFill patternType="solid">
        <fgColor theme="6"/>
        <bgColor indexed="64"/>
      </patternFill>
    </fill>
    <fill>
      <patternFill patternType="solid">
        <fgColor theme="4"/>
        <bgColor indexed="64"/>
      </patternFill>
    </fill>
    <fill>
      <patternFill patternType="solid">
        <fgColor theme="7" tint="0.59999389629810485"/>
        <bgColor indexed="64"/>
      </patternFill>
    </fill>
    <fill>
      <patternFill patternType="solid">
        <fgColor rgb="FFFFC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4" tint="0.39997558519241921"/>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xf>
    <xf numFmtId="0" fontId="2" fillId="0" borderId="0" xfId="0" applyFont="1" applyAlignment="1">
      <alignment horizontal="center" vertical="center"/>
    </xf>
    <xf numFmtId="0" fontId="4" fillId="0" borderId="0" xfId="0" applyFont="1"/>
    <xf numFmtId="0" fontId="2" fillId="0" borderId="0" xfId="0" applyFont="1"/>
    <xf numFmtId="164" fontId="2" fillId="0" borderId="0" xfId="0" applyNumberFormat="1" applyFont="1"/>
    <xf numFmtId="0" fontId="3" fillId="0" borderId="1" xfId="0" applyFont="1" applyBorder="1" applyAlignment="1">
      <alignment wrapText="1"/>
    </xf>
    <xf numFmtId="0" fontId="7" fillId="0" borderId="0" xfId="0" applyFont="1"/>
    <xf numFmtId="0" fontId="4" fillId="3" borderId="0" xfId="0" applyFont="1" applyFill="1"/>
    <xf numFmtId="0" fontId="4" fillId="4" borderId="0" xfId="0" applyFont="1" applyFill="1"/>
    <xf numFmtId="0" fontId="7" fillId="5" borderId="0" xfId="0" applyFont="1" applyFill="1"/>
    <xf numFmtId="0" fontId="7" fillId="6" borderId="0" xfId="0" applyFont="1" applyFill="1"/>
    <xf numFmtId="22" fontId="0" fillId="0" borderId="0" xfId="0" applyNumberFormat="1"/>
    <xf numFmtId="14" fontId="0" fillId="0" borderId="0" xfId="0" applyNumberFormat="1"/>
    <xf numFmtId="165" fontId="0" fillId="0" borderId="0" xfId="0" applyNumberFormat="1"/>
    <xf numFmtId="0" fontId="0" fillId="0" borderId="2" xfId="0" applyBorder="1"/>
    <xf numFmtId="0" fontId="8" fillId="0" borderId="3" xfId="0" applyFont="1" applyBorder="1" applyAlignment="1">
      <alignment horizontal="center"/>
    </xf>
    <xf numFmtId="0" fontId="8" fillId="0" borderId="3" xfId="0" applyFont="1" applyBorder="1" applyAlignment="1">
      <alignment horizontal="centerContinuous"/>
    </xf>
    <xf numFmtId="0" fontId="4" fillId="7" borderId="0" xfId="0" applyFont="1"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66" fontId="0" fillId="13" borderId="0" xfId="0" applyNumberFormat="1" applyFill="1"/>
    <xf numFmtId="0" fontId="0" fillId="0" borderId="0" xfId="0"/>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(1).xlsx]Region!PivotTable1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Region!$A$4:$A$9</c:f>
              <c:strCache>
                <c:ptCount val="5"/>
                <c:pt idx="0">
                  <c:v>Central</c:v>
                </c:pt>
                <c:pt idx="1">
                  <c:v>East</c:v>
                </c:pt>
                <c:pt idx="2">
                  <c:v>North</c:v>
                </c:pt>
                <c:pt idx="3">
                  <c:v>South</c:v>
                </c:pt>
                <c:pt idx="4">
                  <c:v>West</c:v>
                </c:pt>
              </c:strCache>
            </c:strRef>
          </c:cat>
          <c:val>
            <c:numRef>
              <c:f>Region!$B$4:$B$9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9A25-49F8-8398-2DE96E3D8A9E}"/>
            </c:ext>
          </c:extLst>
        </c:ser>
        <c:dLbls>
          <c:dLblPos val="outEnd"/>
          <c:showLegendKey val="0"/>
          <c:showVal val="1"/>
          <c:showCatName val="0"/>
          <c:showSerName val="0"/>
          <c:showPercent val="0"/>
          <c:showBubbleSize val="0"/>
        </c:dLbls>
        <c:gapWidth val="100"/>
        <c:overlap val="-24"/>
        <c:axId val="1078842735"/>
        <c:axId val="1078840335"/>
      </c:barChart>
      <c:catAx>
        <c:axId val="1078842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840335"/>
        <c:crosses val="autoZero"/>
        <c:auto val="1"/>
        <c:lblAlgn val="ctr"/>
        <c:lblOffset val="100"/>
        <c:noMultiLvlLbl val="0"/>
      </c:catAx>
      <c:valAx>
        <c:axId val="1078840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84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Category!$A$4:$A$7</c:f>
              <c:strCache>
                <c:ptCount val="3"/>
                <c:pt idx="0">
                  <c:v>Appliances</c:v>
                </c:pt>
                <c:pt idx="1">
                  <c:v>Electronics</c:v>
                </c:pt>
                <c:pt idx="2">
                  <c:v>Furniture</c:v>
                </c:pt>
              </c:strCache>
            </c:strRef>
          </c:cat>
          <c:val>
            <c:numRef>
              <c:f>Category!$B$4:$B$7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580D-45B5-A0CA-DCD6445D5DE4}"/>
            </c:ext>
          </c:extLst>
        </c:ser>
        <c:dLbls>
          <c:dLblPos val="outEnd"/>
          <c:showLegendKey val="0"/>
          <c:showVal val="1"/>
          <c:showCatName val="0"/>
          <c:showSerName val="0"/>
          <c:showPercent val="0"/>
          <c:showBubbleSize val="0"/>
        </c:dLbls>
        <c:gapWidth val="115"/>
        <c:overlap val="-20"/>
        <c:axId val="211375440"/>
        <c:axId val="211366800"/>
      </c:barChart>
      <c:catAx>
        <c:axId val="2113754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366800"/>
        <c:crosses val="autoZero"/>
        <c:auto val="1"/>
        <c:lblAlgn val="ctr"/>
        <c:lblOffset val="100"/>
        <c:noMultiLvlLbl val="0"/>
      </c:catAx>
      <c:valAx>
        <c:axId val="2113668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37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(1).xlsx]years of Amount!PivotTable3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Years of Total Amount</a:t>
            </a:r>
            <a:r>
              <a:rPr lang="en-US"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'years of Amount'!$B$3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'years of Amount'!$A$4:$A$19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'years of Amount'!$B$4:$B$19</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3D61-469D-B5BE-3403AA5AD9C4}"/>
            </c:ext>
          </c:extLst>
        </c:ser>
        <c:dLbls>
          <c:showLegendKey val="0"/>
          <c:showVal val="0"/>
          <c:showCatName val="0"/>
          <c:showSerName val="0"/>
          <c:showPercent val="0"/>
          <c:showBubbleSize val="0"/>
        </c:dLbls>
        <c:marker val="1"/>
        <c:smooth val="0"/>
        <c:axId val="211316880"/>
        <c:axId val="211322640"/>
      </c:lineChart>
      <c:catAx>
        <c:axId val="2113168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322640"/>
        <c:crosses val="autoZero"/>
        <c:auto val="1"/>
        <c:lblAlgn val="ctr"/>
        <c:lblOffset val="100"/>
        <c:noMultiLvlLbl val="0"/>
      </c:catAx>
      <c:valAx>
        <c:axId val="2113226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31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(1).xlsx]customer segment!PivotTable1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Segment for Amount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4C-42A5-B168-A6F2F4957FE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4C-42A5-B168-A6F2F4957FE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4C-42A5-B168-A6F2F4957F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segment'!$A$4:$A$7</c:f>
              <c:strCache>
                <c:ptCount val="3"/>
                <c:pt idx="0">
                  <c:v>Basic</c:v>
                </c:pt>
                <c:pt idx="1">
                  <c:v>Premium</c:v>
                </c:pt>
                <c:pt idx="2">
                  <c:v>Standard</c:v>
                </c:pt>
              </c:strCache>
            </c:strRef>
          </c:cat>
          <c:val>
            <c:numRef>
              <c:f>'customer segment'!$B$4:$B$7</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DABD-4B5F-ACF5-56637B769A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(1).xlsx]Product name!PivotTable4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'Product name'!$B$3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F7A-4959-A2ED-3FFDAF63D5B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F7A-4959-A2ED-3FFDAF63D5B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F7A-4959-A2ED-3FFDAF63D5B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F7A-4959-A2ED-3FFDAF63D5B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F7A-4959-A2ED-3FFDAF63D5B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F7A-4959-A2ED-3FFDAF63D5B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F7A-4959-A2ED-3FFDAF63D5B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F7A-4959-A2ED-3FFDAF63D5B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F7A-4959-A2ED-3FFDAF63D5B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F7A-4959-A2ED-3FFDAF63D5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name'!$A$4:$A$14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 name'!$B$4:$B$14</c:f>
              <c:numCache>
                <c:formatCode>General</c:formatCode>
                <c:ptCount val="10"/>
                <c:pt idx="0">
                  <c:v>29</c:v>
                </c:pt>
                <c:pt idx="1">
                  <c:v>35</c:v>
                </c:pt>
                <c:pt idx="2">
                  <c:v>14</c:v>
                </c:pt>
                <c:pt idx="3">
                  <c:v>26</c:v>
                </c:pt>
                <c:pt idx="4">
                  <c:v>16</c:v>
                </c:pt>
                <c:pt idx="5">
                  <c:v>34</c:v>
                </c:pt>
                <c:pt idx="6">
                  <c:v>24</c:v>
                </c:pt>
                <c:pt idx="7">
                  <c:v>26</c:v>
                </c:pt>
                <c:pt idx="8">
                  <c:v>15</c:v>
                </c:pt>
                <c:pt idx="9">
                  <c:v>31</c:v>
                </c:pt>
              </c:numCache>
            </c:numRef>
          </c:val>
          <c:extLst>
            <c:ext xmlns:c16="http://schemas.microsoft.com/office/drawing/2014/chart" uri="{C3380CC4-5D6E-409C-BE32-E72D297353CC}">
              <c16:uniqueId val="{00000000-B151-4345-A675-E593E0B293A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(1).xlsx]Product name!PivotTable4</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'Product name'!$B$3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D4-460A-B7DF-CC0A570CFE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D4-460A-B7DF-CC0A570CFE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D4-460A-B7DF-CC0A570CFE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D4-460A-B7DF-CC0A570CFEE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8D4-460A-B7DF-CC0A570CFEE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8D4-460A-B7DF-CC0A570CFEE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80-4116-B02F-5F2072597B6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80-4116-B02F-5F2072597B6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D80-4116-B02F-5F2072597B6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D80-4116-B02F-5F2072597B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name'!$A$4:$A$14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 name'!$B$4:$B$14</c:f>
              <c:numCache>
                <c:formatCode>General</c:formatCode>
                <c:ptCount val="10"/>
                <c:pt idx="0">
                  <c:v>29</c:v>
                </c:pt>
                <c:pt idx="1">
                  <c:v>35</c:v>
                </c:pt>
                <c:pt idx="2">
                  <c:v>14</c:v>
                </c:pt>
                <c:pt idx="3">
                  <c:v>26</c:v>
                </c:pt>
                <c:pt idx="4">
                  <c:v>16</c:v>
                </c:pt>
                <c:pt idx="5">
                  <c:v>34</c:v>
                </c:pt>
                <c:pt idx="6">
                  <c:v>24</c:v>
                </c:pt>
                <c:pt idx="7">
                  <c:v>26</c:v>
                </c:pt>
                <c:pt idx="8">
                  <c:v>15</c:v>
                </c:pt>
                <c:pt idx="9">
                  <c:v>31</c:v>
                </c:pt>
              </c:numCache>
            </c:numRef>
          </c:val>
          <c:extLst>
            <c:ext xmlns:c16="http://schemas.microsoft.com/office/drawing/2014/chart" uri="{C3380CC4-5D6E-409C-BE32-E72D297353CC}">
              <c16:uniqueId val="{0000000C-E8D4-460A-B7DF-CC0A570CFE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(1).xlsx]years of Amount!PivotTable3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Years of Total Amount</a:t>
            </a:r>
            <a:r>
              <a:rPr lang="en-US" baseline="0"/>
              <a:t>  </a:t>
            </a:r>
            <a:endParaRPr lang="en-US"/>
          </a:p>
        </c:rich>
      </c:tx>
      <c:layout>
        <c:manualLayout>
          <c:xMode val="edge"/>
          <c:yMode val="edge"/>
          <c:x val="0.30459133074095091"/>
          <c:y val="3.236245954692556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'years of Amount'!$B$3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'years of Amount'!$A$4:$A$19</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'years of Amount'!$B$4:$B$19</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5E50-4A4F-87D2-CAEF650D0605}"/>
            </c:ext>
          </c:extLst>
        </c:ser>
        <c:dLbls>
          <c:showLegendKey val="0"/>
          <c:showVal val="0"/>
          <c:showCatName val="0"/>
          <c:showSerName val="0"/>
          <c:showPercent val="0"/>
          <c:showBubbleSize val="0"/>
        </c:dLbls>
        <c:marker val="1"/>
        <c:smooth val="0"/>
        <c:axId val="211316880"/>
        <c:axId val="211322640"/>
      </c:lineChart>
      <c:catAx>
        <c:axId val="2113168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322640"/>
        <c:crosses val="autoZero"/>
        <c:auto val="1"/>
        <c:lblAlgn val="ctr"/>
        <c:lblOffset val="100"/>
        <c:noMultiLvlLbl val="0"/>
      </c:catAx>
      <c:valAx>
        <c:axId val="2113226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31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(1).xlsx]customer segment!PivotTable1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Segment for Amount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'customer 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67-4CBA-A45A-175C36D21E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67-4CBA-A45A-175C36D21E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D67-4CBA-A45A-175C36D21E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segment'!$A$4:$A$7</c:f>
              <c:strCache>
                <c:ptCount val="3"/>
                <c:pt idx="0">
                  <c:v>Basic</c:v>
                </c:pt>
                <c:pt idx="1">
                  <c:v>Premium</c:v>
                </c:pt>
                <c:pt idx="2">
                  <c:v>Standard</c:v>
                </c:pt>
              </c:strCache>
            </c:strRef>
          </c:cat>
          <c:val>
            <c:numRef>
              <c:f>'customer segment'!$B$4:$B$7</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6D67-4CBA-A45A-175C36D21E2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(1).xlsx]Category!PivotTable2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Category!$A$4:$A$7</c:f>
              <c:strCache>
                <c:ptCount val="3"/>
                <c:pt idx="0">
                  <c:v>Appliances</c:v>
                </c:pt>
                <c:pt idx="1">
                  <c:v>Electronics</c:v>
                </c:pt>
                <c:pt idx="2">
                  <c:v>Furniture</c:v>
                </c:pt>
              </c:strCache>
            </c:strRef>
          </c:cat>
          <c:val>
            <c:numRef>
              <c:f>Category!$B$4:$B$7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F799-411F-8D47-7E690430002E}"/>
            </c:ext>
          </c:extLst>
        </c:ser>
        <c:dLbls>
          <c:dLblPos val="outEnd"/>
          <c:showLegendKey val="0"/>
          <c:showVal val="1"/>
          <c:showCatName val="0"/>
          <c:showSerName val="0"/>
          <c:showPercent val="0"/>
          <c:showBubbleSize val="0"/>
        </c:dLbls>
        <c:gapWidth val="115"/>
        <c:overlap val="-20"/>
        <c:axId val="211375440"/>
        <c:axId val="211366800"/>
      </c:barChart>
      <c:catAx>
        <c:axId val="2113754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366800"/>
        <c:crosses val="autoZero"/>
        <c:auto val="1"/>
        <c:lblAlgn val="ctr"/>
        <c:lblOffset val="100"/>
        <c:noMultiLvlLbl val="0"/>
      </c:catAx>
      <c:valAx>
        <c:axId val="2113668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37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(1).xlsx]Region!PivotTable1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Region!$A$4:$A$9</c:f>
              <c:strCache>
                <c:ptCount val="5"/>
                <c:pt idx="0">
                  <c:v>Central</c:v>
                </c:pt>
                <c:pt idx="1">
                  <c:v>East</c:v>
                </c:pt>
                <c:pt idx="2">
                  <c:v>North</c:v>
                </c:pt>
                <c:pt idx="3">
                  <c:v>South</c:v>
                </c:pt>
                <c:pt idx="4">
                  <c:v>West</c:v>
                </c:pt>
              </c:strCache>
            </c:strRef>
          </c:cat>
          <c:val>
            <c:numRef>
              <c:f>Region!$B$4:$B$9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2B6D-4345-81A7-12EF0912F10A}"/>
            </c:ext>
          </c:extLst>
        </c:ser>
        <c:dLbls>
          <c:dLblPos val="outEnd"/>
          <c:showLegendKey val="0"/>
          <c:showVal val="1"/>
          <c:showCatName val="0"/>
          <c:showSerName val="0"/>
          <c:showPercent val="0"/>
          <c:showBubbleSize val="0"/>
        </c:dLbls>
        <c:gapWidth val="100"/>
        <c:overlap val="-24"/>
        <c:axId val="1078842735"/>
        <c:axId val="1078840335"/>
      </c:barChart>
      <c:catAx>
        <c:axId val="1078842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840335"/>
        <c:crosses val="autoZero"/>
        <c:auto val="1"/>
        <c:lblAlgn val="ctr"/>
        <c:lblOffset val="100"/>
        <c:noMultiLvlLbl val="0"/>
      </c:catAx>
      <c:valAx>
        <c:axId val="1078840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84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image" Target="../media/image7.svg"/><Relationship Id="rId2" Type="http://schemas.openxmlformats.org/officeDocument/2006/relationships/image" Target="../media/image6.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548640</xdr:colOff>
      <xdr:row>0</xdr:row>
      <xdr:rowOff>148590</xdr:rowOff>
    </xdr:from>
    <xdr:to>
      <xdr:col>11</xdr:col>
      <xdr:colOff>243840</xdr:colOff>
      <xdr:row>15</xdr:row>
      <xdr:rowOff>148590</xdr:rowOff>
    </xdr:to>
    <xdr:graphicFrame macro="">
      <xdr:nvGraphicFramePr>
        <xdr:cNvPr id="2" name="Chart 1">
          <a:extLst>
            <a:ext uri="{FF2B5EF4-FFF2-40B4-BE49-F238E27FC236}">
              <a16:creationId xmlns:a16="http://schemas.microsoft.com/office/drawing/2014/main" id="{5F6AD802-6152-F9EB-3ADE-77857156B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xdr:colOff>
      <xdr:row>2</xdr:row>
      <xdr:rowOff>1</xdr:rowOff>
    </xdr:from>
    <xdr:to>
      <xdr:col>4</xdr:col>
      <xdr:colOff>243841</xdr:colOff>
      <xdr:row>3</xdr:row>
      <xdr:rowOff>60961</xdr:rowOff>
    </xdr:to>
    <xdr:pic>
      <xdr:nvPicPr>
        <xdr:cNvPr id="5" name="Picture 4" descr="Bar graph with downward trend with solid fill">
          <a:extLst>
            <a:ext uri="{FF2B5EF4-FFF2-40B4-BE49-F238E27FC236}">
              <a16:creationId xmlns:a16="http://schemas.microsoft.com/office/drawing/2014/main" id="{89BABF10-5EC2-48C6-C07D-FCD8F5A8740F}"/>
            </a:ext>
          </a:extLst>
        </xdr:cNvPr>
        <xdr:cNvPicPr>
          <a:picLocks noChangeAspect="1"/>
        </xdr:cNvPicPr>
      </xdr:nvPicPr>
      <xdr:blipFill>
        <a:blip xmlns:r="http://schemas.openxmlformats.org/officeDocument/2006/relationships" r:embed="rId2"/>
        <a:stretch>
          <a:fillRect/>
        </a:stretch>
      </xdr:blipFill>
      <xdr:spPr>
        <a:xfrm>
          <a:off x="3436621" y="365761"/>
          <a:ext cx="243840" cy="243840"/>
        </a:xfrm>
        <a:prstGeom prst="rect">
          <a:avLst/>
        </a:prstGeom>
      </xdr:spPr>
    </xdr:pic>
    <xdr:clientData/>
  </xdr:twoCellAnchor>
  <xdr:twoCellAnchor editAs="oneCell">
    <xdr:from>
      <xdr:col>12</xdr:col>
      <xdr:colOff>99060</xdr:colOff>
      <xdr:row>2</xdr:row>
      <xdr:rowOff>114300</xdr:rowOff>
    </xdr:from>
    <xdr:to>
      <xdr:col>15</xdr:col>
      <xdr:colOff>70260</xdr:colOff>
      <xdr:row>11</xdr:row>
      <xdr:rowOff>124380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5862FE9-229F-C5D1-F9D7-748FD246BF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12480" y="480060"/>
              <a:ext cx="1800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327660</xdr:colOff>
      <xdr:row>0</xdr:row>
      <xdr:rowOff>0</xdr:rowOff>
    </xdr:from>
    <xdr:to>
      <xdr:col>11</xdr:col>
      <xdr:colOff>22860</xdr:colOff>
      <xdr:row>15</xdr:row>
      <xdr:rowOff>0</xdr:rowOff>
    </xdr:to>
    <xdr:graphicFrame macro="">
      <xdr:nvGraphicFramePr>
        <xdr:cNvPr id="2" name="Chart 1">
          <a:extLst>
            <a:ext uri="{FF2B5EF4-FFF2-40B4-BE49-F238E27FC236}">
              <a16:creationId xmlns:a16="http://schemas.microsoft.com/office/drawing/2014/main" id="{3AF88D36-D482-11F9-0B2A-BCA3BB1D7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320040</xdr:colOff>
      <xdr:row>0</xdr:row>
      <xdr:rowOff>0</xdr:rowOff>
    </xdr:from>
    <xdr:to>
      <xdr:col>4</xdr:col>
      <xdr:colOff>60960</xdr:colOff>
      <xdr:row>1</xdr:row>
      <xdr:rowOff>167640</xdr:rowOff>
    </xdr:to>
    <xdr:pic>
      <xdr:nvPicPr>
        <xdr:cNvPr id="6" name="Graphic 5" descr="Business Growth with solid fill">
          <a:extLst>
            <a:ext uri="{FF2B5EF4-FFF2-40B4-BE49-F238E27FC236}">
              <a16:creationId xmlns:a16="http://schemas.microsoft.com/office/drawing/2014/main" id="{AF0D3367-01C8-8CD1-252E-F5C420C394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47060" y="0"/>
          <a:ext cx="350520" cy="350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0</xdr:row>
      <xdr:rowOff>0</xdr:rowOff>
    </xdr:from>
    <xdr:to>
      <xdr:col>11</xdr:col>
      <xdr:colOff>53340</xdr:colOff>
      <xdr:row>12</xdr:row>
      <xdr:rowOff>160020</xdr:rowOff>
    </xdr:to>
    <xdr:graphicFrame macro="">
      <xdr:nvGraphicFramePr>
        <xdr:cNvPr id="2" name="Chart 1">
          <a:extLst>
            <a:ext uri="{FF2B5EF4-FFF2-40B4-BE49-F238E27FC236}">
              <a16:creationId xmlns:a16="http://schemas.microsoft.com/office/drawing/2014/main" id="{5EA1E215-80BE-253B-4084-DB18FABDB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251460</xdr:colOff>
      <xdr:row>1</xdr:row>
      <xdr:rowOff>175260</xdr:rowOff>
    </xdr:from>
    <xdr:to>
      <xdr:col>14</xdr:col>
      <xdr:colOff>251460</xdr:colOff>
      <xdr:row>15</xdr:row>
      <xdr:rowOff>81915</xdr:rowOff>
    </xdr:to>
    <mc:AlternateContent xmlns:mc="http://schemas.openxmlformats.org/markup-compatibility/2006" xmlns:a14="http://schemas.microsoft.com/office/drawing/2010/main">
      <mc:Choice Requires="a14">
        <xdr:graphicFrame macro="">
          <xdr:nvGraphicFramePr>
            <xdr:cNvPr id="3" name="Months (Date)">
              <a:extLst>
                <a:ext uri="{FF2B5EF4-FFF2-40B4-BE49-F238E27FC236}">
                  <a16:creationId xmlns:a16="http://schemas.microsoft.com/office/drawing/2014/main" id="{9929997C-0B44-E8E6-DC24-5639A2441D2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22198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0.06167</cdr:x>
      <cdr:y>0.10278</cdr:y>
    </cdr:to>
    <cdr:pic>
      <cdr:nvPicPr>
        <cdr:cNvPr id="3" name="Graphic 2" descr="Statistics with solid fill">
          <a:extLst xmlns:a="http://schemas.openxmlformats.org/drawingml/2006/main">
            <a:ext uri="{FF2B5EF4-FFF2-40B4-BE49-F238E27FC236}">
              <a16:creationId xmlns:a16="http://schemas.microsoft.com/office/drawing/2014/main" id="{124E6977-9B2A-8389-267F-4B729EF502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281940" cy="28194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3</xdr:col>
      <xdr:colOff>441960</xdr:colOff>
      <xdr:row>0</xdr:row>
      <xdr:rowOff>95250</xdr:rowOff>
    </xdr:from>
    <xdr:to>
      <xdr:col>11</xdr:col>
      <xdr:colOff>137160</xdr:colOff>
      <xdr:row>15</xdr:row>
      <xdr:rowOff>95250</xdr:rowOff>
    </xdr:to>
    <xdr:graphicFrame macro="">
      <xdr:nvGraphicFramePr>
        <xdr:cNvPr id="2" name="Chart 1">
          <a:extLst>
            <a:ext uri="{FF2B5EF4-FFF2-40B4-BE49-F238E27FC236}">
              <a16:creationId xmlns:a16="http://schemas.microsoft.com/office/drawing/2014/main" id="{2A7AA9B7-400B-8C2A-E32E-39849BDA8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106680</xdr:colOff>
      <xdr:row>2</xdr:row>
      <xdr:rowOff>129541</xdr:rowOff>
    </xdr:from>
    <xdr:to>
      <xdr:col>15</xdr:col>
      <xdr:colOff>106680</xdr:colOff>
      <xdr:row>9</xdr:row>
      <xdr:rowOff>15241</xdr:rowOff>
    </xdr:to>
    <mc:AlternateContent xmlns:mc="http://schemas.openxmlformats.org/markup-compatibility/2006" xmlns:a14="http://schemas.microsoft.com/office/drawing/2010/main">
      <mc:Choice Requires="a14">
        <xdr:graphicFrame macro="">
          <xdr:nvGraphicFramePr>
            <xdr:cNvPr id="4" name="Customer_Segment">
              <a:extLst>
                <a:ext uri="{FF2B5EF4-FFF2-40B4-BE49-F238E27FC236}">
                  <a16:creationId xmlns:a16="http://schemas.microsoft.com/office/drawing/2014/main" id="{0B7A6E66-F696-7317-A113-B4656E6220E6}"/>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420100" y="49530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190500</xdr:colOff>
      <xdr:row>1</xdr:row>
      <xdr:rowOff>3810</xdr:rowOff>
    </xdr:from>
    <xdr:to>
      <xdr:col>10</xdr:col>
      <xdr:colOff>495300</xdr:colOff>
      <xdr:row>22</xdr:row>
      <xdr:rowOff>3810</xdr:rowOff>
    </xdr:to>
    <xdr:graphicFrame macro="">
      <xdr:nvGraphicFramePr>
        <xdr:cNvPr id="2" name="Chart 1">
          <a:extLst>
            <a:ext uri="{FF2B5EF4-FFF2-40B4-BE49-F238E27FC236}">
              <a16:creationId xmlns:a16="http://schemas.microsoft.com/office/drawing/2014/main" id="{CCDE88B2-DEE3-766A-D182-50CD0FAF7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167640</xdr:colOff>
      <xdr:row>0</xdr:row>
      <xdr:rowOff>114300</xdr:rowOff>
    </xdr:from>
    <xdr:to>
      <xdr:col>4</xdr:col>
      <xdr:colOff>129540</xdr:colOff>
      <xdr:row>3</xdr:row>
      <xdr:rowOff>137160</xdr:rowOff>
    </xdr:to>
    <xdr:pic>
      <xdr:nvPicPr>
        <xdr:cNvPr id="4" name="Graphic 3" descr="Venn diagram with solid fill">
          <a:extLst>
            <a:ext uri="{FF2B5EF4-FFF2-40B4-BE49-F238E27FC236}">
              <a16:creationId xmlns:a16="http://schemas.microsoft.com/office/drawing/2014/main" id="{5E3A1DAA-8986-E11F-084D-7B268E60302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67100" y="114300"/>
          <a:ext cx="571500" cy="571500"/>
        </a:xfrm>
        <a:prstGeom prst="rect">
          <a:avLst/>
        </a:prstGeom>
      </xdr:spPr>
    </xdr:pic>
    <xdr:clientData/>
  </xdr:twoCellAnchor>
  <xdr:twoCellAnchor editAs="oneCell">
    <xdr:from>
      <xdr:col>12</xdr:col>
      <xdr:colOff>304800</xdr:colOff>
      <xdr:row>1</xdr:row>
      <xdr:rowOff>129540</xdr:rowOff>
    </xdr:from>
    <xdr:to>
      <xdr:col>15</xdr:col>
      <xdr:colOff>304800</xdr:colOff>
      <xdr:row>21</xdr:row>
      <xdr:rowOff>36195</xdr:rowOff>
    </xdr:to>
    <mc:AlternateContent xmlns:mc="http://schemas.openxmlformats.org/markup-compatibility/2006" xmlns:a14="http://schemas.microsoft.com/office/drawing/2010/main">
      <mc:Choice Requires="a14">
        <xdr:graphicFrame macro="">
          <xdr:nvGraphicFramePr>
            <xdr:cNvPr id="5" name="Product_Name">
              <a:extLst>
                <a:ext uri="{FF2B5EF4-FFF2-40B4-BE49-F238E27FC236}">
                  <a16:creationId xmlns:a16="http://schemas.microsoft.com/office/drawing/2014/main" id="{25B97088-9577-5937-DE4B-C64CABD31F0A}"/>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909066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495300</xdr:colOff>
      <xdr:row>0</xdr:row>
      <xdr:rowOff>30480</xdr:rowOff>
    </xdr:from>
    <xdr:to>
      <xdr:col>9</xdr:col>
      <xdr:colOff>563880</xdr:colOff>
      <xdr:row>13</xdr:row>
      <xdr:rowOff>68580</xdr:rowOff>
    </xdr:to>
    <xdr:graphicFrame macro="">
      <xdr:nvGraphicFramePr>
        <xdr:cNvPr id="2" name="Chart 1">
          <a:extLst>
            <a:ext uri="{FF2B5EF4-FFF2-40B4-BE49-F238E27FC236}">
              <a16:creationId xmlns:a16="http://schemas.microsoft.com/office/drawing/2014/main" id="{A8044ADE-41D8-446E-A965-35CF20C82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579120</xdr:colOff>
      <xdr:row>0</xdr:row>
      <xdr:rowOff>30480</xdr:rowOff>
    </xdr:from>
    <xdr:to>
      <xdr:col>17</xdr:col>
      <xdr:colOff>38100</xdr:colOff>
      <xdr:row>13</xdr:row>
      <xdr:rowOff>7620</xdr:rowOff>
    </xdr:to>
    <xdr:graphicFrame macro="">
      <xdr:nvGraphicFramePr>
        <xdr:cNvPr id="3" name="Chart 2">
          <a:extLst>
            <a:ext uri="{FF2B5EF4-FFF2-40B4-BE49-F238E27FC236}">
              <a16:creationId xmlns:a16="http://schemas.microsoft.com/office/drawing/2014/main" id="{7E7DD5F2-C963-4A6B-8EC9-E523B5B1F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594360</xdr:colOff>
      <xdr:row>13</xdr:row>
      <xdr:rowOff>22860</xdr:rowOff>
    </xdr:from>
    <xdr:to>
      <xdr:col>17</xdr:col>
      <xdr:colOff>83820</xdr:colOff>
      <xdr:row>27</xdr:row>
      <xdr:rowOff>38100</xdr:rowOff>
    </xdr:to>
    <xdr:graphicFrame macro="">
      <xdr:nvGraphicFramePr>
        <xdr:cNvPr id="4" name="Chart 3">
          <a:extLst>
            <a:ext uri="{FF2B5EF4-FFF2-40B4-BE49-F238E27FC236}">
              <a16:creationId xmlns:a16="http://schemas.microsoft.com/office/drawing/2014/main" id="{762651E2-DC95-447B-8AF0-55605C90C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457200</xdr:colOff>
      <xdr:row>13</xdr:row>
      <xdr:rowOff>83820</xdr:rowOff>
    </xdr:from>
    <xdr:to>
      <xdr:col>9</xdr:col>
      <xdr:colOff>563880</xdr:colOff>
      <xdr:row>27</xdr:row>
      <xdr:rowOff>38100</xdr:rowOff>
    </xdr:to>
    <xdr:graphicFrame macro="">
      <xdr:nvGraphicFramePr>
        <xdr:cNvPr id="5" name="Chart 4">
          <a:extLst>
            <a:ext uri="{FF2B5EF4-FFF2-40B4-BE49-F238E27FC236}">
              <a16:creationId xmlns:a16="http://schemas.microsoft.com/office/drawing/2014/main" id="{A6F2ED79-81D1-440C-B521-0902588DF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53340</xdr:colOff>
      <xdr:row>0</xdr:row>
      <xdr:rowOff>0</xdr:rowOff>
    </xdr:from>
    <xdr:to>
      <xdr:col>23</xdr:col>
      <xdr:colOff>68580</xdr:colOff>
      <xdr:row>13</xdr:row>
      <xdr:rowOff>144780</xdr:rowOff>
    </xdr:to>
    <xdr:graphicFrame macro="">
      <xdr:nvGraphicFramePr>
        <xdr:cNvPr id="6" name="Chart 5">
          <a:extLst>
            <a:ext uri="{FF2B5EF4-FFF2-40B4-BE49-F238E27FC236}">
              <a16:creationId xmlns:a16="http://schemas.microsoft.com/office/drawing/2014/main" id="{8B683F07-893F-4EBF-8A26-59A2DAB0B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106680</xdr:colOff>
      <xdr:row>0</xdr:row>
      <xdr:rowOff>114300</xdr:rowOff>
    </xdr:from>
    <xdr:to>
      <xdr:col>2</xdr:col>
      <xdr:colOff>449580</xdr:colOff>
      <xdr:row>12</xdr:row>
      <xdr:rowOff>150495</xdr:rowOff>
    </xdr:to>
    <mc:AlternateContent xmlns:mc="http://schemas.openxmlformats.org/markup-compatibility/2006" xmlns:a14="http://schemas.microsoft.com/office/drawing/2010/main">
      <mc:Choice Requires="a14">
        <xdr:graphicFrame macro="">
          <xdr:nvGraphicFramePr>
            <xdr:cNvPr id="7" name="Product_Name 1">
              <a:extLst>
                <a:ext uri="{FF2B5EF4-FFF2-40B4-BE49-F238E27FC236}">
                  <a16:creationId xmlns:a16="http://schemas.microsoft.com/office/drawing/2014/main" id="{112960D3-3B85-4DCB-B499-47EFA5413F7E}"/>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06680" y="114300"/>
              <a:ext cx="1562100" cy="2230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129540</xdr:rowOff>
    </xdr:from>
    <xdr:to>
      <xdr:col>2</xdr:col>
      <xdr:colOff>457200</xdr:colOff>
      <xdr:row>20</xdr:row>
      <xdr:rowOff>106680</xdr:rowOff>
    </xdr:to>
    <mc:AlternateContent xmlns:mc="http://schemas.openxmlformats.org/markup-compatibility/2006" xmlns:a14="http://schemas.microsoft.com/office/drawing/2010/main">
      <mc:Choice Requires="a14">
        <xdr:graphicFrame macro="">
          <xdr:nvGraphicFramePr>
            <xdr:cNvPr id="8" name="Customer_Segment 1">
              <a:extLst>
                <a:ext uri="{FF2B5EF4-FFF2-40B4-BE49-F238E27FC236}">
                  <a16:creationId xmlns:a16="http://schemas.microsoft.com/office/drawing/2014/main" id="{D88D8DCF-5419-46FB-AC58-3AAA08702A56}"/>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0" y="2506980"/>
              <a:ext cx="16764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167640</xdr:colOff>
      <xdr:row>13</xdr:row>
      <xdr:rowOff>175260</xdr:rowOff>
    </xdr:from>
    <xdr:to>
      <xdr:col>20</xdr:col>
      <xdr:colOff>121920</xdr:colOff>
      <xdr:row>27</xdr:row>
      <xdr:rowOff>114300</xdr:rowOff>
    </xdr:to>
    <mc:AlternateContent xmlns:mc="http://schemas.openxmlformats.org/markup-compatibility/2006" xmlns:a14="http://schemas.microsoft.com/office/drawing/2010/main">
      <mc:Choice Requires="a14">
        <xdr:graphicFrame macro="">
          <xdr:nvGraphicFramePr>
            <xdr:cNvPr id="9" name="Months (Date) 1">
              <a:extLst>
                <a:ext uri="{FF2B5EF4-FFF2-40B4-BE49-F238E27FC236}">
                  <a16:creationId xmlns:a16="http://schemas.microsoft.com/office/drawing/2014/main" id="{3BAE37E6-5D4A-477A-AD82-6CDE6F0BA687}"/>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0530840" y="2552700"/>
              <a:ext cx="1783080" cy="2499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0.06167</cdr:x>
      <cdr:y>0.10278</cdr:y>
    </cdr:to>
    <cdr:pic>
      <cdr:nvPicPr>
        <cdr:cNvPr id="3" name="Graphic 2" descr="Statistics with solid fill">
          <a:extLst xmlns:a="http://schemas.openxmlformats.org/drawingml/2006/main">
            <a:ext uri="{FF2B5EF4-FFF2-40B4-BE49-F238E27FC236}">
              <a16:creationId xmlns:a16="http://schemas.microsoft.com/office/drawing/2014/main" id="{124E6977-9B2A-8389-267F-4B729EF502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281940" cy="28194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jal" refreshedDate="46037.674281134263" createdVersion="8" refreshedVersion="8" minRefreshableVersion="3" recordCount="250" xr:uid="{B3025278-0994-45C3-BA14-26CDD99C39FB}">
  <cacheSource type="worksheet">
    <worksheetSource ref="E1:W251" sheet="Final Project Dataset "/>
  </cacheSource>
  <cacheFields count="22">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1"/>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ount="12">
        <n v="250"/>
        <n v="60"/>
        <n v="150"/>
        <n v="149.99"/>
        <n v="59.99"/>
        <n v="899.99"/>
        <n v="699.99"/>
        <n v="249.99"/>
        <n v="299.99"/>
        <n v="79.989999999999995"/>
        <n v="89.99"/>
        <n v="199.99"/>
      </sharedItems>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NOW TIME" numFmtId="22">
      <sharedItems containsSemiMixedTypes="0" containsNonDate="0" containsDate="1" containsString="0" minDate="2026-01-15T16:10:35" maxDate="2026-01-15T16:10:35"/>
    </cacheField>
    <cacheField name="TODAY" numFmtId="14">
      <sharedItems containsSemiMixedTypes="0" containsNonDate="0" containsDate="1" containsString="0" minDate="2026-01-15T00:00:00" maxDate="2026-01-16T00:00:00"/>
    </cacheField>
    <cacheField name="Last date" numFmtId="0">
      <sharedItems containsSemiMixedTypes="0" containsNonDate="0" containsDate="1" containsString="0" minDate="2024-04-30T00:00:00" maxDate="2025-05-01T00:00:00"/>
    </cacheField>
    <cacheField name="Datedif" numFmtId="0">
      <sharedItems containsSemiMixedTypes="0" containsString="0" containsNumber="1" containsInteger="1" minValue="0" maxValue="3"/>
    </cacheField>
    <cacheField name="  " numFmtId="0">
      <sharedItems containsBlank="1"/>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760791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x v="0"/>
    <x v="0"/>
    <x v="0"/>
    <x v="0"/>
    <x v="0"/>
    <d v="2021-08-17T00:00:00"/>
    <x v="0"/>
    <d v="2026-01-15T16:10:35"/>
    <d v="2026-01-15T00:00:00"/>
    <d v="2024-04-30T00:00:00"/>
    <n v="2"/>
    <m/>
  </r>
  <r>
    <s v="TRX0023"/>
    <x v="1"/>
    <s v="CUST013"/>
    <s v="Joseph Jackson"/>
    <s v="P009"/>
    <x v="0"/>
    <x v="0"/>
    <x v="0"/>
    <x v="0"/>
    <x v="1"/>
    <x v="0"/>
    <x v="1"/>
    <d v="2022-01-14T00:00:00"/>
    <x v="0"/>
    <d v="2026-01-15T16:10:35"/>
    <d v="2026-01-15T00:00:00"/>
    <d v="2024-04-30T00:00:00"/>
    <n v="2"/>
    <s v="Customer_Name"/>
  </r>
  <r>
    <s v="TRX0139"/>
    <x v="2"/>
    <s v="CUST021"/>
    <s v="Kevin Scott"/>
    <s v="P005"/>
    <x v="1"/>
    <x v="1"/>
    <x v="0"/>
    <x v="1"/>
    <x v="2"/>
    <x v="1"/>
    <x v="2"/>
    <d v="2023-12-02T00:00:00"/>
    <x v="1"/>
    <d v="2026-01-15T16:10:35"/>
    <d v="2026-01-15T00:00:00"/>
    <d v="2024-04-30T00:00:00"/>
    <n v="0"/>
    <s v="Kathleen Bennett"/>
  </r>
  <r>
    <s v="TRX0043"/>
    <x v="3"/>
    <s v="CUST046"/>
    <s v="Kathleen Bennett"/>
    <s v="P005"/>
    <x v="1"/>
    <x v="1"/>
    <x v="0"/>
    <x v="1"/>
    <x v="0"/>
    <x v="2"/>
    <x v="1"/>
    <d v="2023-07-07T00:00:00"/>
    <x v="1"/>
    <d v="2026-01-15T16:10:35"/>
    <d v="2026-01-15T00:00:00"/>
    <d v="2024-04-30T00:00:00"/>
    <n v="0"/>
    <s v="Michael Brown"/>
  </r>
  <r>
    <s v="TRX0212"/>
    <x v="3"/>
    <s v="CUST003"/>
    <s v="Michael Brown"/>
    <s v="P008"/>
    <x v="2"/>
    <x v="2"/>
    <x v="1"/>
    <x v="2"/>
    <x v="1"/>
    <x v="2"/>
    <x v="1"/>
    <d v="2024-01-04T00:00:00"/>
    <x v="2"/>
    <d v="2026-01-15T16:10:35"/>
    <d v="2026-01-15T00:00:00"/>
    <d v="2024-04-30T00:00:00"/>
    <n v="0"/>
    <s v="Kathleen Bennett"/>
  </r>
  <r>
    <s v="TRX0092"/>
    <x v="4"/>
    <s v="CUST024"/>
    <s v="Dorothy Nelson"/>
    <s v="P005"/>
    <x v="1"/>
    <x v="1"/>
    <x v="2"/>
    <x v="1"/>
    <x v="0"/>
    <x v="3"/>
    <x v="2"/>
    <d v="2022-07-04T00:00:00"/>
    <x v="3"/>
    <d v="2026-01-15T16:10:35"/>
    <d v="2026-01-15T00:00:00"/>
    <d v="2024-04-30T00:00:00"/>
    <n v="1"/>
    <s v="Peter Richardson"/>
  </r>
  <r>
    <s v="TRX0193"/>
    <x v="4"/>
    <s v="CUST024"/>
    <s v="Dorothy Nelson"/>
    <s v="P003"/>
    <x v="3"/>
    <x v="0"/>
    <x v="1"/>
    <x v="3"/>
    <x v="1"/>
    <x v="0"/>
    <x v="2"/>
    <d v="2021-08-10T00:00:00"/>
    <x v="2"/>
    <d v="2026-01-15T16:10:35"/>
    <d v="2026-01-15T00:00:00"/>
    <d v="2024-04-30T00:00:00"/>
    <n v="2"/>
    <s v="Dennis Gray"/>
  </r>
  <r>
    <s v="TRX0240"/>
    <x v="4"/>
    <s v="CUST017"/>
    <s v="Charles Allen"/>
    <s v="P005"/>
    <x v="1"/>
    <x v="1"/>
    <x v="0"/>
    <x v="4"/>
    <x v="3"/>
    <x v="1"/>
    <x v="0"/>
    <d v="2023-03-22T00:00:00"/>
    <x v="1"/>
    <d v="2026-01-15T16:10:35"/>
    <d v="2026-01-15T00:00:00"/>
    <d v="2024-04-30T00:00:00"/>
    <n v="1"/>
    <s v="George Adams"/>
  </r>
  <r>
    <s v="TRX0135"/>
    <x v="5"/>
    <s v="CUST009"/>
    <s v="Robert Thomas"/>
    <s v="P001"/>
    <x v="4"/>
    <x v="0"/>
    <x v="0"/>
    <x v="5"/>
    <x v="2"/>
    <x v="4"/>
    <x v="2"/>
    <d v="2024-01-08T00:00:00"/>
    <x v="4"/>
    <d v="2026-01-15T16:10:35"/>
    <d v="2026-01-15T00:00:00"/>
    <d v="2024-04-30T00:00:00"/>
    <n v="0"/>
    <s v="Mark Carter"/>
  </r>
  <r>
    <s v="TRX0185"/>
    <x v="6"/>
    <s v="CUST026"/>
    <s v="Karen Hill"/>
    <s v="P005"/>
    <x v="1"/>
    <x v="1"/>
    <x v="0"/>
    <x v="4"/>
    <x v="0"/>
    <x v="3"/>
    <x v="1"/>
    <d v="2023-10-08T00:00:00"/>
    <x v="1"/>
    <d v="2026-01-15T16:10:35"/>
    <d v="2026-01-15T00:00:00"/>
    <d v="2024-04-30T00:00:00"/>
    <n v="0"/>
    <s v="Maria Garcia"/>
  </r>
  <r>
    <s v="TRX0138"/>
    <x v="6"/>
    <s v="CUST022"/>
    <s v="Susan Green"/>
    <s v="P008"/>
    <x v="2"/>
    <x v="2"/>
    <x v="3"/>
    <x v="3"/>
    <x v="1"/>
    <x v="3"/>
    <x v="2"/>
    <d v="2023-06-26T00:00:00"/>
    <x v="5"/>
    <d v="2026-01-15T16:10:35"/>
    <d v="2026-01-15T00:00:00"/>
    <d v="2024-04-30T00:00:00"/>
    <n v="0"/>
    <s v="Virginia Sanders"/>
  </r>
  <r>
    <s v="TRX0209"/>
    <x v="6"/>
    <s v="CUST046"/>
    <s v="Kathleen Bennett"/>
    <s v="P008"/>
    <x v="2"/>
    <x v="2"/>
    <x v="1"/>
    <x v="3"/>
    <x v="3"/>
    <x v="2"/>
    <x v="0"/>
    <d v="2022-09-26T00:00:00"/>
    <x v="2"/>
    <d v="2026-01-15T16:10:35"/>
    <d v="2026-01-15T00:00:00"/>
    <d v="2024-04-30T00:00:00"/>
    <n v="1"/>
    <s v="Cynthia Price"/>
  </r>
  <r>
    <s v="TRX0246"/>
    <x v="6"/>
    <s v="CUST041"/>
    <s v="Peter Richardson"/>
    <s v="P008"/>
    <x v="2"/>
    <x v="2"/>
    <x v="0"/>
    <x v="3"/>
    <x v="0"/>
    <x v="2"/>
    <x v="1"/>
    <d v="2022-09-02T00:00:00"/>
    <x v="6"/>
    <d v="2026-01-15T16:10:35"/>
    <d v="2026-01-15T00:00:00"/>
    <d v="2024-04-30T00:00:00"/>
    <n v="1"/>
    <s v="Patricia Moore"/>
  </r>
  <r>
    <s v="TRX0067"/>
    <x v="7"/>
    <s v="CUST043"/>
    <s v="Dennis Gray"/>
    <s v="P005"/>
    <x v="1"/>
    <x v="1"/>
    <x v="0"/>
    <x v="4"/>
    <x v="1"/>
    <x v="2"/>
    <x v="2"/>
    <d v="2024-02-29T00:00:00"/>
    <x v="1"/>
    <d v="2026-01-15T16:10:35"/>
    <d v="2026-01-15T00:00:00"/>
    <d v="2024-04-30T00:00:00"/>
    <n v="0"/>
    <s v="Steven Turner"/>
  </r>
  <r>
    <s v="TRX0191"/>
    <x v="7"/>
    <s v="CUST038"/>
    <s v="Michelle Rogers"/>
    <s v="P002"/>
    <x v="5"/>
    <x v="0"/>
    <x v="0"/>
    <x v="6"/>
    <x v="1"/>
    <x v="3"/>
    <x v="0"/>
    <d v="2022-01-16T00:00:00"/>
    <x v="7"/>
    <d v="2026-01-15T16:10:35"/>
    <d v="2026-01-15T00:00:00"/>
    <d v="2024-04-30T00:00:00"/>
    <n v="2"/>
    <s v="Daniel King"/>
  </r>
  <r>
    <s v="TRX0230"/>
    <x v="7"/>
    <s v="CUST027"/>
    <s v="George Adams"/>
    <s v="P001"/>
    <x v="4"/>
    <x v="0"/>
    <x v="3"/>
    <x v="5"/>
    <x v="3"/>
    <x v="2"/>
    <x v="2"/>
    <d v="2022-12-25T00:00:00"/>
    <x v="8"/>
    <d v="2026-01-15T16:10:35"/>
    <d v="2026-01-15T00:00:00"/>
    <d v="2024-04-30T00:00:00"/>
    <n v="1"/>
    <s v="Charles Allen"/>
  </r>
  <r>
    <s v="TRX0049"/>
    <x v="8"/>
    <s v="CUST025"/>
    <s v="Mark Carter"/>
    <s v="P008"/>
    <x v="2"/>
    <x v="2"/>
    <x v="4"/>
    <x v="3"/>
    <x v="3"/>
    <x v="2"/>
    <x v="1"/>
    <d v="2024-03-23T00:00:00"/>
    <x v="9"/>
    <d v="2026-01-15T16:10:35"/>
    <d v="2026-01-15T00:00:00"/>
    <d v="2024-04-30T00:00:00"/>
    <n v="0"/>
    <s v="Margaret Wright"/>
  </r>
  <r>
    <s v="TRX0134"/>
    <x v="8"/>
    <s v="CUST010"/>
    <s v="Maria Garcia"/>
    <s v="P002"/>
    <x v="5"/>
    <x v="0"/>
    <x v="2"/>
    <x v="6"/>
    <x v="0"/>
    <x v="2"/>
    <x v="0"/>
    <d v="2022-08-08T00:00:00"/>
    <x v="10"/>
    <d v="2026-01-15T16:10:35"/>
    <d v="2026-01-15T00:00:00"/>
    <d v="2024-04-30T00:00:00"/>
    <n v="1"/>
    <s v="Barbara Young"/>
  </r>
  <r>
    <s v="TRX0122"/>
    <x v="8"/>
    <s v="CUST025"/>
    <s v="Mark Carter"/>
    <s v="P001"/>
    <x v="4"/>
    <x v="0"/>
    <x v="4"/>
    <x v="5"/>
    <x v="1"/>
    <x v="3"/>
    <x v="2"/>
    <d v="2024-02-05T00:00:00"/>
    <x v="11"/>
    <d v="2026-01-15T16:10:35"/>
    <d v="2026-01-15T00:00:00"/>
    <d v="2024-04-30T00:00:00"/>
    <n v="0"/>
    <s v="Frank Torres"/>
  </r>
  <r>
    <s v="TRX0222"/>
    <x v="8"/>
    <s v="CUST048"/>
    <s v="Virginia Sanders"/>
    <s v="P009"/>
    <x v="0"/>
    <x v="0"/>
    <x v="0"/>
    <x v="7"/>
    <x v="1"/>
    <x v="2"/>
    <x v="1"/>
    <d v="2023-10-25T00:00:00"/>
    <x v="0"/>
    <d v="2026-01-15T16:10:35"/>
    <d v="2026-01-15T00:00:00"/>
    <d v="2024-04-30T00:00:00"/>
    <n v="0"/>
    <s v="Frank Torres"/>
  </r>
  <r>
    <s v="TRX0231"/>
    <x v="9"/>
    <s v="CUST018"/>
    <s v="Barbara Young"/>
    <s v="P002"/>
    <x v="5"/>
    <x v="0"/>
    <x v="1"/>
    <x v="6"/>
    <x v="0"/>
    <x v="3"/>
    <x v="0"/>
    <d v="2023-08-29T00:00:00"/>
    <x v="12"/>
    <d v="2026-01-15T16:10:35"/>
    <d v="2026-01-15T00:00:00"/>
    <d v="2024-04-30T00:00:00"/>
    <n v="0"/>
    <s v="Karen Hill"/>
  </r>
  <r>
    <s v="TRX0239"/>
    <x v="10"/>
    <s v="CUST012"/>
    <s v="Patricia Moore"/>
    <s v="P002"/>
    <x v="5"/>
    <x v="0"/>
    <x v="4"/>
    <x v="6"/>
    <x v="0"/>
    <x v="4"/>
    <x v="2"/>
    <d v="2021-08-01T00:00:00"/>
    <x v="13"/>
    <d v="2026-01-15T16:10:35"/>
    <d v="2026-01-15T00:00:00"/>
    <d v="2024-05-31T00:00:00"/>
    <n v="2"/>
    <s v="David Martinez"/>
  </r>
  <r>
    <s v="TRX0204"/>
    <x v="11"/>
    <s v="CUST044"/>
    <s v="Cynthia Price"/>
    <s v="P009"/>
    <x v="0"/>
    <x v="0"/>
    <x v="4"/>
    <x v="7"/>
    <x v="2"/>
    <x v="2"/>
    <x v="2"/>
    <d v="2021-09-29T00:00:00"/>
    <x v="14"/>
    <d v="2026-01-15T16:10:35"/>
    <d v="2026-01-15T00:00:00"/>
    <d v="2024-05-31T00:00:00"/>
    <n v="2"/>
    <s v="Barbara Young"/>
  </r>
  <r>
    <s v="TRX0242"/>
    <x v="12"/>
    <s v="CUST025"/>
    <s v="Mark Carter"/>
    <s v="P007"/>
    <x v="6"/>
    <x v="2"/>
    <x v="4"/>
    <x v="8"/>
    <x v="0"/>
    <x v="3"/>
    <x v="1"/>
    <d v="2022-06-04T00:00:00"/>
    <x v="15"/>
    <d v="2026-01-15T16:10:35"/>
    <d v="2026-01-15T00:00:00"/>
    <d v="2024-05-31T00:00:00"/>
    <n v="1"/>
    <s v="Mark Carter"/>
  </r>
  <r>
    <s v="TRX0071"/>
    <x v="13"/>
    <s v="CUST036"/>
    <s v="Nancy Collins"/>
    <s v="P009"/>
    <x v="0"/>
    <x v="0"/>
    <x v="1"/>
    <x v="7"/>
    <x v="1"/>
    <x v="3"/>
    <x v="2"/>
    <d v="2021-11-25T00:00:00"/>
    <x v="16"/>
    <d v="2026-01-15T16:10:35"/>
    <d v="2026-01-15T00:00:00"/>
    <d v="2024-05-31T00:00:00"/>
    <n v="2"/>
    <s v="Maria Garcia"/>
  </r>
  <r>
    <s v="TRX0040"/>
    <x v="14"/>
    <s v="CUST022"/>
    <s v="Susan Green"/>
    <s v="P007"/>
    <x v="6"/>
    <x v="2"/>
    <x v="1"/>
    <x v="8"/>
    <x v="2"/>
    <x v="4"/>
    <x v="0"/>
    <d v="2023-08-30T00:00:00"/>
    <x v="17"/>
    <d v="2026-01-15T16:10:35"/>
    <d v="2026-01-15T00:00:00"/>
    <d v="2024-05-31T00:00:00"/>
    <n v="0"/>
    <s v="Mark Carter"/>
  </r>
  <r>
    <s v="TRX0235"/>
    <x v="14"/>
    <s v="CUST014"/>
    <s v="Linda Martin"/>
    <s v="P004"/>
    <x v="7"/>
    <x v="1"/>
    <x v="0"/>
    <x v="9"/>
    <x v="2"/>
    <x v="4"/>
    <x v="1"/>
    <d v="2023-03-27T00:00:00"/>
    <x v="18"/>
    <d v="2026-01-15T16:10:35"/>
    <d v="2026-01-15T00:00:00"/>
    <d v="2024-05-31T00:00:00"/>
    <n v="1"/>
    <s v="Karen Hill"/>
  </r>
  <r>
    <s v="TRX0004"/>
    <x v="14"/>
    <s v="CUST012"/>
    <s v="Patricia Moore"/>
    <s v="P010"/>
    <x v="8"/>
    <x v="0"/>
    <x v="1"/>
    <x v="10"/>
    <x v="0"/>
    <x v="2"/>
    <x v="1"/>
    <d v="2022-12-24T00:00:00"/>
    <x v="19"/>
    <d v="2026-01-15T16:10:35"/>
    <d v="2026-01-15T00:00:00"/>
    <d v="2024-05-31T00:00:00"/>
    <n v="1"/>
    <s v="Kathleen Bennett"/>
  </r>
  <r>
    <s v="TRX0063"/>
    <x v="15"/>
    <s v="CUST030"/>
    <s v="Helen Roberts"/>
    <s v="P005"/>
    <x v="1"/>
    <x v="1"/>
    <x v="2"/>
    <x v="4"/>
    <x v="3"/>
    <x v="0"/>
    <x v="2"/>
    <d v="2023-10-15T00:00:00"/>
    <x v="3"/>
    <d v="2026-01-15T16:10:35"/>
    <d v="2026-01-15T00:00:00"/>
    <d v="2024-05-31T00:00:00"/>
    <n v="0"/>
    <s v="Betty Campbell"/>
  </r>
  <r>
    <s v="TRX0241"/>
    <x v="16"/>
    <s v="CUST029"/>
    <s v="Edward Mitchell"/>
    <s v="P005"/>
    <x v="1"/>
    <x v="1"/>
    <x v="4"/>
    <x v="4"/>
    <x v="3"/>
    <x v="4"/>
    <x v="2"/>
    <d v="2022-11-02T00:00:00"/>
    <x v="20"/>
    <d v="2026-01-15T16:10:35"/>
    <d v="2026-01-15T00:00:00"/>
    <d v="2024-05-31T00:00:00"/>
    <n v="1"/>
    <m/>
  </r>
  <r>
    <s v="TRX0029"/>
    <x v="16"/>
    <s v="CUST017"/>
    <s v="Charles Allen"/>
    <s v="P006"/>
    <x v="9"/>
    <x v="2"/>
    <x v="1"/>
    <x v="11"/>
    <x v="0"/>
    <x v="1"/>
    <x v="2"/>
    <d v="2021-08-04T00:00:00"/>
    <x v="21"/>
    <d v="2026-01-15T16:10:35"/>
    <d v="2026-01-15T00:00:00"/>
    <d v="2024-05-31T00:00:00"/>
    <n v="2"/>
    <m/>
  </r>
  <r>
    <s v="TRX0194"/>
    <x v="17"/>
    <s v="CUST006"/>
    <s v="Lisa Anderson"/>
    <s v="P008"/>
    <x v="2"/>
    <x v="2"/>
    <x v="2"/>
    <x v="3"/>
    <x v="1"/>
    <x v="3"/>
    <x v="0"/>
    <d v="2022-09-19T00:00:00"/>
    <x v="22"/>
    <d v="2026-01-15T16:10:35"/>
    <d v="2026-01-15T00:00:00"/>
    <d v="2024-05-31T00:00:00"/>
    <n v="1"/>
    <m/>
  </r>
  <r>
    <s v="TRX0130"/>
    <x v="18"/>
    <s v="CUST002"/>
    <s v="Emma Wilson"/>
    <s v="P008"/>
    <x v="2"/>
    <x v="2"/>
    <x v="0"/>
    <x v="3"/>
    <x v="1"/>
    <x v="3"/>
    <x v="1"/>
    <d v="2023-05-22T00:00:00"/>
    <x v="6"/>
    <d v="2026-01-15T16:10:35"/>
    <d v="2026-01-15T00:00:00"/>
    <d v="2024-05-31T00:00:00"/>
    <n v="0"/>
    <m/>
  </r>
  <r>
    <s v="TRX0041"/>
    <x v="19"/>
    <s v="CUST021"/>
    <s v="Kevin Scott"/>
    <s v="P001"/>
    <x v="4"/>
    <x v="0"/>
    <x v="3"/>
    <x v="5"/>
    <x v="1"/>
    <x v="3"/>
    <x v="1"/>
    <d v="2022-01-17T00:00:00"/>
    <x v="8"/>
    <d v="2026-01-15T16:10:35"/>
    <d v="2026-01-15T00:00:00"/>
    <d v="2024-05-31T00:00:00"/>
    <n v="2"/>
    <m/>
  </r>
  <r>
    <s v="TRX0232"/>
    <x v="20"/>
    <s v="CUST012"/>
    <s v="Patricia Moore"/>
    <s v="P007"/>
    <x v="6"/>
    <x v="2"/>
    <x v="0"/>
    <x v="8"/>
    <x v="1"/>
    <x v="4"/>
    <x v="0"/>
    <d v="2022-09-20T00:00:00"/>
    <x v="23"/>
    <d v="2026-01-15T16:10:35"/>
    <d v="2026-01-15T00:00:00"/>
    <d v="2024-05-31T00:00:00"/>
    <n v="1"/>
    <m/>
  </r>
  <r>
    <s v="TRX0021"/>
    <x v="21"/>
    <s v="CUST006"/>
    <s v="Lisa Anderson"/>
    <s v="P004"/>
    <x v="7"/>
    <x v="1"/>
    <x v="0"/>
    <x v="9"/>
    <x v="0"/>
    <x v="1"/>
    <x v="0"/>
    <d v="2023-04-30T00:00:00"/>
    <x v="18"/>
    <d v="2026-01-15T16:10:35"/>
    <d v="2026-01-15T00:00:00"/>
    <d v="2024-05-31T00:00:00"/>
    <n v="1"/>
    <m/>
  </r>
  <r>
    <s v="TRX0245"/>
    <x v="22"/>
    <s v="CUST031"/>
    <s v="Steven Turner"/>
    <s v="P006"/>
    <x v="9"/>
    <x v="2"/>
    <x v="0"/>
    <x v="11"/>
    <x v="1"/>
    <x v="2"/>
    <x v="1"/>
    <d v="2024-01-01T00:00:00"/>
    <x v="24"/>
    <d v="2026-01-15T16:10:35"/>
    <d v="2026-01-15T00:00:00"/>
    <d v="2024-05-31T00:00:00"/>
    <n v="0"/>
    <m/>
  </r>
  <r>
    <s v="TRX0015"/>
    <x v="23"/>
    <s v="CUST008"/>
    <s v="Jennifer Taylor"/>
    <s v="P002"/>
    <x v="5"/>
    <x v="0"/>
    <x v="1"/>
    <x v="6"/>
    <x v="2"/>
    <x v="3"/>
    <x v="2"/>
    <d v="2021-07-30T00:00:00"/>
    <x v="12"/>
    <d v="2026-01-15T16:10:35"/>
    <d v="2026-01-15T00:00:00"/>
    <d v="2024-05-31T00:00:00"/>
    <n v="2"/>
    <m/>
  </r>
  <r>
    <s v="TRX0202"/>
    <x v="24"/>
    <s v="CUST035"/>
    <s v="Harry Morgan"/>
    <s v="P010"/>
    <x v="8"/>
    <x v="0"/>
    <x v="0"/>
    <x v="10"/>
    <x v="2"/>
    <x v="0"/>
    <x v="1"/>
    <d v="2023-07-13T00:00:00"/>
    <x v="25"/>
    <d v="2026-01-15T16:10:35"/>
    <d v="2026-01-15T00:00:00"/>
    <d v="2024-05-31T00:00:00"/>
    <n v="0"/>
    <m/>
  </r>
  <r>
    <s v="TRX0042"/>
    <x v="25"/>
    <s v="CUST019"/>
    <s v="Daniel King"/>
    <s v="P004"/>
    <x v="7"/>
    <x v="1"/>
    <x v="3"/>
    <x v="9"/>
    <x v="0"/>
    <x v="2"/>
    <x v="2"/>
    <d v="2022-12-22T00:00:00"/>
    <x v="26"/>
    <d v="2026-01-15T16:10:35"/>
    <d v="2026-01-15T00:00:00"/>
    <d v="2024-05-31T00:00:00"/>
    <n v="1"/>
    <m/>
  </r>
  <r>
    <s v="TRX0128"/>
    <x v="26"/>
    <s v="CUST040"/>
    <s v="Sharon Butler"/>
    <s v="P005"/>
    <x v="1"/>
    <x v="1"/>
    <x v="2"/>
    <x v="4"/>
    <x v="0"/>
    <x v="3"/>
    <x v="0"/>
    <d v="2024-04-08T00:00:00"/>
    <x v="3"/>
    <d v="2026-01-15T16:10:35"/>
    <d v="2026-01-15T00:00:00"/>
    <d v="2024-06-30T00:00:00"/>
    <n v="0"/>
    <m/>
  </r>
  <r>
    <s v="TRX0117"/>
    <x v="26"/>
    <s v="CUST017"/>
    <s v="Charles Allen"/>
    <s v="P010"/>
    <x v="8"/>
    <x v="0"/>
    <x v="3"/>
    <x v="10"/>
    <x v="0"/>
    <x v="2"/>
    <x v="0"/>
    <d v="2023-08-03T00:00:00"/>
    <x v="27"/>
    <d v="2026-01-15T16:10:35"/>
    <d v="2026-01-15T00:00:00"/>
    <d v="2024-06-30T00:00:00"/>
    <n v="0"/>
    <m/>
  </r>
  <r>
    <s v="TRX0208"/>
    <x v="27"/>
    <s v="CUST004"/>
    <s v="Sarah Davis"/>
    <s v="P010"/>
    <x v="8"/>
    <x v="0"/>
    <x v="1"/>
    <x v="10"/>
    <x v="1"/>
    <x v="4"/>
    <x v="2"/>
    <d v="2022-01-26T00:00:00"/>
    <x v="19"/>
    <d v="2026-01-15T16:10:35"/>
    <d v="2026-01-15T00:00:00"/>
    <d v="2024-06-30T00:00:00"/>
    <n v="2"/>
    <m/>
  </r>
  <r>
    <s v="TRX0234"/>
    <x v="28"/>
    <s v="CUST013"/>
    <s v="Joseph Jackson"/>
    <s v="P009"/>
    <x v="0"/>
    <x v="0"/>
    <x v="1"/>
    <x v="7"/>
    <x v="1"/>
    <x v="4"/>
    <x v="2"/>
    <d v="2022-05-26T00:00:00"/>
    <x v="16"/>
    <d v="2026-01-15T16:10:35"/>
    <d v="2026-01-15T00:00:00"/>
    <d v="2024-06-30T00:00:00"/>
    <n v="2"/>
    <m/>
  </r>
  <r>
    <s v="TRX0121"/>
    <x v="28"/>
    <s v="CUST028"/>
    <s v="Betty Campbell"/>
    <s v="P010"/>
    <x v="8"/>
    <x v="0"/>
    <x v="3"/>
    <x v="10"/>
    <x v="1"/>
    <x v="1"/>
    <x v="2"/>
    <d v="2022-01-21T00:00:00"/>
    <x v="27"/>
    <d v="2026-01-15T16:10:35"/>
    <d v="2026-01-15T00:00:00"/>
    <d v="2024-06-30T00:00:00"/>
    <n v="2"/>
    <m/>
  </r>
  <r>
    <s v="TRX0220"/>
    <x v="29"/>
    <s v="CUST003"/>
    <s v="Michael Brown"/>
    <s v="P008"/>
    <x v="2"/>
    <x v="2"/>
    <x v="2"/>
    <x v="3"/>
    <x v="0"/>
    <x v="4"/>
    <x v="1"/>
    <d v="2022-03-25T00:00:00"/>
    <x v="22"/>
    <d v="2026-01-15T16:10:35"/>
    <d v="2026-01-15T00:00:00"/>
    <d v="2024-06-30T00:00:00"/>
    <n v="2"/>
    <m/>
  </r>
  <r>
    <s v="TRX0093"/>
    <x v="30"/>
    <s v="CUST050"/>
    <s v="Julie Foster"/>
    <s v="P005"/>
    <x v="1"/>
    <x v="1"/>
    <x v="4"/>
    <x v="4"/>
    <x v="0"/>
    <x v="4"/>
    <x v="2"/>
    <d v="2021-08-27T00:00:00"/>
    <x v="20"/>
    <d v="2026-01-15T16:10:35"/>
    <d v="2026-01-15T00:00:00"/>
    <d v="2024-06-30T00:00:00"/>
    <n v="2"/>
    <m/>
  </r>
  <r>
    <s v="TRX0088"/>
    <x v="31"/>
    <s v="CUST006"/>
    <s v="Lisa Anderson"/>
    <s v="P010"/>
    <x v="8"/>
    <x v="0"/>
    <x v="1"/>
    <x v="10"/>
    <x v="0"/>
    <x v="0"/>
    <x v="1"/>
    <d v="2022-01-18T00:00:00"/>
    <x v="19"/>
    <d v="2026-01-15T16:10:35"/>
    <d v="2026-01-15T00:00:00"/>
    <d v="2024-06-30T00:00:00"/>
    <n v="2"/>
    <m/>
  </r>
  <r>
    <s v="TRX0115"/>
    <x v="32"/>
    <s v="CUST012"/>
    <s v="Patricia Moore"/>
    <s v="P010"/>
    <x v="8"/>
    <x v="0"/>
    <x v="2"/>
    <x v="10"/>
    <x v="1"/>
    <x v="1"/>
    <x v="1"/>
    <d v="2021-10-02T00:00:00"/>
    <x v="28"/>
    <d v="2026-01-15T16:10:35"/>
    <d v="2026-01-15T00:00:00"/>
    <d v="2024-06-30T00:00:00"/>
    <n v="2"/>
    <m/>
  </r>
  <r>
    <s v="TRX0154"/>
    <x v="32"/>
    <s v="CUST023"/>
    <s v="Paul Baker"/>
    <s v="P001"/>
    <x v="4"/>
    <x v="0"/>
    <x v="1"/>
    <x v="5"/>
    <x v="1"/>
    <x v="1"/>
    <x v="2"/>
    <d v="2023-02-17T00:00:00"/>
    <x v="29"/>
    <d v="2026-01-15T16:10:35"/>
    <d v="2026-01-15T00:00:00"/>
    <d v="2024-06-30T00:00:00"/>
    <n v="1"/>
    <m/>
  </r>
  <r>
    <s v="TRX0044"/>
    <x v="32"/>
    <s v="CUST029"/>
    <s v="Edward Mitchell"/>
    <s v="P001"/>
    <x v="4"/>
    <x v="0"/>
    <x v="1"/>
    <x v="5"/>
    <x v="2"/>
    <x v="4"/>
    <x v="1"/>
    <d v="2023-12-18T00:00:00"/>
    <x v="29"/>
    <d v="2026-01-15T16:10:35"/>
    <d v="2026-01-15T00:00:00"/>
    <d v="2024-06-30T00:00:00"/>
    <n v="0"/>
    <m/>
  </r>
  <r>
    <s v="TRX0061"/>
    <x v="33"/>
    <s v="CUST028"/>
    <s v="Betty Campbell"/>
    <s v="P005"/>
    <x v="1"/>
    <x v="1"/>
    <x v="3"/>
    <x v="4"/>
    <x v="3"/>
    <x v="3"/>
    <x v="1"/>
    <d v="2023-09-21T00:00:00"/>
    <x v="30"/>
    <d v="2026-01-15T16:10:35"/>
    <d v="2026-01-15T00:00:00"/>
    <d v="2024-06-30T00:00:00"/>
    <n v="0"/>
    <m/>
  </r>
  <r>
    <s v="TRX0150"/>
    <x v="33"/>
    <s v="CUST008"/>
    <s v="Jennifer Taylor"/>
    <s v="P007"/>
    <x v="6"/>
    <x v="2"/>
    <x v="2"/>
    <x v="8"/>
    <x v="3"/>
    <x v="4"/>
    <x v="2"/>
    <d v="2023-11-23T00:00:00"/>
    <x v="31"/>
    <d v="2026-01-15T16:10:35"/>
    <d v="2026-01-15T00:00:00"/>
    <d v="2024-06-30T00:00:00"/>
    <n v="0"/>
    <m/>
  </r>
  <r>
    <s v="TRX0025"/>
    <x v="34"/>
    <s v="CUST049"/>
    <s v="Raymond Ross"/>
    <s v="P010"/>
    <x v="8"/>
    <x v="0"/>
    <x v="4"/>
    <x v="10"/>
    <x v="3"/>
    <x v="1"/>
    <x v="0"/>
    <d v="2023-12-21T00:00:00"/>
    <x v="32"/>
    <d v="2026-01-15T16:10:35"/>
    <d v="2026-01-15T00:00:00"/>
    <d v="2024-06-30T00:00:00"/>
    <n v="0"/>
    <m/>
  </r>
  <r>
    <s v="TRX0078"/>
    <x v="35"/>
    <s v="CUST021"/>
    <s v="Kevin Scott"/>
    <s v="P004"/>
    <x v="7"/>
    <x v="1"/>
    <x v="3"/>
    <x v="9"/>
    <x v="2"/>
    <x v="0"/>
    <x v="1"/>
    <d v="2024-03-01T00:00:00"/>
    <x v="26"/>
    <d v="2026-01-15T16:10:35"/>
    <d v="2026-01-15T00:00:00"/>
    <d v="2024-06-30T00:00:00"/>
    <n v="0"/>
    <m/>
  </r>
  <r>
    <s v="TRX0007"/>
    <x v="35"/>
    <s v="CUST009"/>
    <s v="Robert Thomas"/>
    <s v="P010"/>
    <x v="8"/>
    <x v="0"/>
    <x v="2"/>
    <x v="10"/>
    <x v="0"/>
    <x v="3"/>
    <x v="0"/>
    <d v="2021-08-30T00:00:00"/>
    <x v="28"/>
    <d v="2026-01-15T16:10:35"/>
    <d v="2026-01-15T00:00:00"/>
    <d v="2024-06-30T00:00:00"/>
    <n v="2"/>
    <m/>
  </r>
  <r>
    <s v="TRX0184"/>
    <x v="36"/>
    <s v="CUST046"/>
    <s v="Kathleen Bennett"/>
    <s v="P002"/>
    <x v="5"/>
    <x v="0"/>
    <x v="0"/>
    <x v="6"/>
    <x v="1"/>
    <x v="4"/>
    <x v="1"/>
    <d v="2023-06-25T00:00:00"/>
    <x v="7"/>
    <d v="2026-01-15T16:10:35"/>
    <d v="2026-01-15T00:00:00"/>
    <d v="2024-06-30T00:00:00"/>
    <n v="1"/>
    <m/>
  </r>
  <r>
    <s v="TRX0104"/>
    <x v="36"/>
    <s v="CUST012"/>
    <s v="Patricia Moore"/>
    <s v="P001"/>
    <x v="4"/>
    <x v="0"/>
    <x v="4"/>
    <x v="5"/>
    <x v="1"/>
    <x v="4"/>
    <x v="1"/>
    <d v="2023-03-08T00:00:00"/>
    <x v="11"/>
    <d v="2026-01-15T16:10:35"/>
    <d v="2026-01-15T00:00:00"/>
    <d v="2024-06-30T00:00:00"/>
    <n v="1"/>
    <m/>
  </r>
  <r>
    <s v="TRX0127"/>
    <x v="37"/>
    <s v="CUST030"/>
    <s v="Helen Roberts"/>
    <s v="P008"/>
    <x v="2"/>
    <x v="2"/>
    <x v="3"/>
    <x v="3"/>
    <x v="2"/>
    <x v="4"/>
    <x v="0"/>
    <d v="2022-10-17T00:00:00"/>
    <x v="5"/>
    <d v="2026-01-15T16:10:35"/>
    <d v="2026-01-15T00:00:00"/>
    <d v="2024-06-30T00:00:00"/>
    <n v="1"/>
    <m/>
  </r>
  <r>
    <s v="TRX0096"/>
    <x v="38"/>
    <s v="CUST002"/>
    <s v="Emma Wilson"/>
    <s v="P010"/>
    <x v="8"/>
    <x v="0"/>
    <x v="2"/>
    <x v="10"/>
    <x v="2"/>
    <x v="0"/>
    <x v="1"/>
    <d v="2023-12-15T00:00:00"/>
    <x v="28"/>
    <d v="2026-01-15T16:10:35"/>
    <d v="2026-01-15T00:00:00"/>
    <d v="2024-07-31T00:00:00"/>
    <n v="0"/>
    <m/>
  </r>
  <r>
    <s v="TRX0192"/>
    <x v="39"/>
    <s v="CUST017"/>
    <s v="Charles Allen"/>
    <s v="P010"/>
    <x v="8"/>
    <x v="0"/>
    <x v="3"/>
    <x v="10"/>
    <x v="2"/>
    <x v="3"/>
    <x v="2"/>
    <d v="2022-08-29T00:00:00"/>
    <x v="27"/>
    <d v="2026-01-15T16:10:35"/>
    <d v="2026-01-15T00:00:00"/>
    <d v="2024-07-31T00:00:00"/>
    <n v="1"/>
    <m/>
  </r>
  <r>
    <s v="TRX0052"/>
    <x v="40"/>
    <s v="CUST022"/>
    <s v="Susan Green"/>
    <s v="P010"/>
    <x v="8"/>
    <x v="0"/>
    <x v="3"/>
    <x v="10"/>
    <x v="0"/>
    <x v="1"/>
    <x v="2"/>
    <d v="2022-02-19T00:00:00"/>
    <x v="27"/>
    <d v="2026-01-15T16:10:35"/>
    <d v="2026-01-15T00:00:00"/>
    <d v="2024-07-31T00:00:00"/>
    <n v="2"/>
    <m/>
  </r>
  <r>
    <s v="TRX0070"/>
    <x v="40"/>
    <s v="CUST007"/>
    <s v="David Martinez"/>
    <s v="P004"/>
    <x v="7"/>
    <x v="1"/>
    <x v="1"/>
    <x v="9"/>
    <x v="3"/>
    <x v="0"/>
    <x v="0"/>
    <d v="2023-02-24T00:00:00"/>
    <x v="33"/>
    <d v="2026-01-15T16:10:35"/>
    <d v="2026-01-15T00:00:00"/>
    <d v="2024-07-31T00:00:00"/>
    <n v="1"/>
    <m/>
  </r>
  <r>
    <s v="TRX0086"/>
    <x v="41"/>
    <s v="CUST020"/>
    <s v="Margaret Wright"/>
    <s v="P008"/>
    <x v="2"/>
    <x v="2"/>
    <x v="3"/>
    <x v="3"/>
    <x v="2"/>
    <x v="2"/>
    <x v="0"/>
    <d v="2021-08-13T00:00:00"/>
    <x v="5"/>
    <d v="2026-01-15T16:10:35"/>
    <d v="2026-01-15T00:00:00"/>
    <d v="2024-07-31T00:00:00"/>
    <n v="2"/>
    <m/>
  </r>
  <r>
    <s v="TRX0113"/>
    <x v="41"/>
    <s v="CUST003"/>
    <s v="Michael Brown"/>
    <s v="P002"/>
    <x v="5"/>
    <x v="0"/>
    <x v="2"/>
    <x v="6"/>
    <x v="2"/>
    <x v="4"/>
    <x v="1"/>
    <d v="2024-04-07T00:00:00"/>
    <x v="10"/>
    <d v="2026-01-15T16:10:35"/>
    <d v="2026-01-15T00:00:00"/>
    <d v="2024-07-31T00:00:00"/>
    <n v="0"/>
    <m/>
  </r>
  <r>
    <s v="TRX0114"/>
    <x v="41"/>
    <s v="CUST018"/>
    <s v="Barbara Young"/>
    <s v="P010"/>
    <x v="8"/>
    <x v="0"/>
    <x v="1"/>
    <x v="10"/>
    <x v="3"/>
    <x v="2"/>
    <x v="1"/>
    <d v="2023-08-23T00:00:00"/>
    <x v="19"/>
    <d v="2026-01-15T16:10:35"/>
    <d v="2026-01-15T00:00:00"/>
    <d v="2024-07-31T00:00:00"/>
    <n v="0"/>
    <m/>
  </r>
  <r>
    <s v="TRX0136"/>
    <x v="42"/>
    <s v="CUST049"/>
    <s v="Raymond Ross"/>
    <s v="P005"/>
    <x v="1"/>
    <x v="1"/>
    <x v="4"/>
    <x v="4"/>
    <x v="0"/>
    <x v="1"/>
    <x v="2"/>
    <d v="2021-11-09T00:00:00"/>
    <x v="20"/>
    <d v="2026-01-15T16:10:35"/>
    <d v="2026-01-15T00:00:00"/>
    <d v="2024-07-31T00:00:00"/>
    <n v="2"/>
    <m/>
  </r>
  <r>
    <s v="TRX0018"/>
    <x v="43"/>
    <s v="CUST013"/>
    <s v="Joseph Jackson"/>
    <s v="P003"/>
    <x v="3"/>
    <x v="0"/>
    <x v="3"/>
    <x v="3"/>
    <x v="0"/>
    <x v="0"/>
    <x v="2"/>
    <d v="2022-12-14T00:00:00"/>
    <x v="5"/>
    <d v="2026-01-15T16:10:35"/>
    <d v="2026-01-15T00:00:00"/>
    <d v="2024-07-31T00:00:00"/>
    <n v="1"/>
    <m/>
  </r>
  <r>
    <s v="TRX0141"/>
    <x v="43"/>
    <s v="CUST033"/>
    <s v="Frank Torres"/>
    <s v="P007"/>
    <x v="6"/>
    <x v="2"/>
    <x v="3"/>
    <x v="8"/>
    <x v="1"/>
    <x v="2"/>
    <x v="1"/>
    <d v="2022-11-26T00:00:00"/>
    <x v="34"/>
    <d v="2026-01-15T16:10:35"/>
    <d v="2026-01-15T00:00:00"/>
    <d v="2024-07-31T00:00:00"/>
    <n v="1"/>
    <m/>
  </r>
  <r>
    <s v="TRX0097"/>
    <x v="44"/>
    <s v="CUST033"/>
    <s v="Frank Torres"/>
    <s v="P006"/>
    <x v="9"/>
    <x v="2"/>
    <x v="2"/>
    <x v="11"/>
    <x v="0"/>
    <x v="2"/>
    <x v="0"/>
    <d v="2021-12-11T00:00:00"/>
    <x v="35"/>
    <d v="2026-01-15T16:10:35"/>
    <d v="2026-01-15T00:00:00"/>
    <d v="2024-07-31T00:00:00"/>
    <n v="2"/>
    <m/>
  </r>
  <r>
    <s v="TRX0169"/>
    <x v="45"/>
    <s v="CUST047"/>
    <s v="Gerald Murphy"/>
    <s v="P005"/>
    <x v="1"/>
    <x v="1"/>
    <x v="0"/>
    <x v="4"/>
    <x v="1"/>
    <x v="3"/>
    <x v="0"/>
    <d v="2023-07-23T00:00:00"/>
    <x v="1"/>
    <d v="2026-01-15T16:10:35"/>
    <d v="2026-01-15T00:00:00"/>
    <d v="2024-07-31T00:00:00"/>
    <n v="0"/>
    <m/>
  </r>
  <r>
    <s v="TRX0216"/>
    <x v="45"/>
    <s v="CUST041"/>
    <s v="Peter Richardson"/>
    <s v="P008"/>
    <x v="2"/>
    <x v="2"/>
    <x v="0"/>
    <x v="3"/>
    <x v="0"/>
    <x v="0"/>
    <x v="1"/>
    <d v="2023-09-30T00:00:00"/>
    <x v="6"/>
    <d v="2026-01-15T16:10:35"/>
    <d v="2026-01-15T00:00:00"/>
    <d v="2024-07-31T00:00:00"/>
    <n v="0"/>
    <m/>
  </r>
  <r>
    <s v="TRX0131"/>
    <x v="46"/>
    <s v="CUST026"/>
    <s v="Karen Hill"/>
    <s v="P006"/>
    <x v="9"/>
    <x v="2"/>
    <x v="0"/>
    <x v="11"/>
    <x v="0"/>
    <x v="2"/>
    <x v="1"/>
    <d v="2023-11-24T00:00:00"/>
    <x v="24"/>
    <d v="2026-01-15T16:10:35"/>
    <d v="2026-01-15T00:00:00"/>
    <d v="2024-07-31T00:00:00"/>
    <n v="0"/>
    <m/>
  </r>
  <r>
    <s v="TRX0162"/>
    <x v="47"/>
    <s v="CUST040"/>
    <s v="Sharon Butler"/>
    <s v="P001"/>
    <x v="4"/>
    <x v="0"/>
    <x v="3"/>
    <x v="5"/>
    <x v="0"/>
    <x v="0"/>
    <x v="2"/>
    <d v="2023-09-10T00:00:00"/>
    <x v="8"/>
    <d v="2026-01-15T16:10:35"/>
    <d v="2026-01-15T00:00:00"/>
    <d v="2024-07-31T00:00:00"/>
    <n v="0"/>
    <m/>
  </r>
  <r>
    <s v="TRX0244"/>
    <x v="48"/>
    <s v="CUST013"/>
    <s v="Joseph Jackson"/>
    <s v="P001"/>
    <x v="4"/>
    <x v="0"/>
    <x v="1"/>
    <x v="5"/>
    <x v="3"/>
    <x v="1"/>
    <x v="2"/>
    <d v="2022-12-04T00:00:00"/>
    <x v="29"/>
    <d v="2026-01-15T16:10:35"/>
    <d v="2026-01-15T00:00:00"/>
    <d v="2024-07-31T00:00:00"/>
    <n v="1"/>
    <m/>
  </r>
  <r>
    <s v="TRX0006"/>
    <x v="49"/>
    <s v="CUST007"/>
    <s v="David Martinez"/>
    <s v="P005"/>
    <x v="1"/>
    <x v="1"/>
    <x v="2"/>
    <x v="4"/>
    <x v="0"/>
    <x v="2"/>
    <x v="2"/>
    <d v="2023-08-14T00:00:00"/>
    <x v="3"/>
    <d v="2026-01-15T16:10:35"/>
    <d v="2026-01-15T00:00:00"/>
    <d v="2024-07-31T00:00:00"/>
    <n v="0"/>
    <m/>
  </r>
  <r>
    <s v="TRX0215"/>
    <x v="49"/>
    <s v="CUST047"/>
    <s v="Gerald Murphy"/>
    <s v="P009"/>
    <x v="0"/>
    <x v="0"/>
    <x v="4"/>
    <x v="7"/>
    <x v="3"/>
    <x v="0"/>
    <x v="2"/>
    <d v="2023-07-20T00:00:00"/>
    <x v="14"/>
    <d v="2026-01-15T16:10:35"/>
    <d v="2026-01-15T00:00:00"/>
    <d v="2024-07-31T00:00:00"/>
    <n v="1"/>
    <m/>
  </r>
  <r>
    <s v="TRX0080"/>
    <x v="50"/>
    <s v="CUST018"/>
    <s v="Barbara Young"/>
    <s v="P009"/>
    <x v="0"/>
    <x v="0"/>
    <x v="2"/>
    <x v="7"/>
    <x v="0"/>
    <x v="2"/>
    <x v="1"/>
    <d v="2023-08-26T00:00:00"/>
    <x v="36"/>
    <d v="2026-01-15T16:10:35"/>
    <d v="2026-01-15T00:00:00"/>
    <d v="2024-07-31T00:00:00"/>
    <n v="0"/>
    <m/>
  </r>
  <r>
    <s v="TRX0228"/>
    <x v="50"/>
    <s v="CUST019"/>
    <s v="Daniel King"/>
    <s v="P007"/>
    <x v="6"/>
    <x v="2"/>
    <x v="3"/>
    <x v="8"/>
    <x v="0"/>
    <x v="1"/>
    <x v="0"/>
    <d v="2023-02-25T00:00:00"/>
    <x v="34"/>
    <d v="2026-01-15T16:10:35"/>
    <d v="2026-01-15T00:00:00"/>
    <d v="2024-07-31T00:00:00"/>
    <n v="1"/>
    <m/>
  </r>
  <r>
    <s v="TRX0157"/>
    <x v="51"/>
    <s v="CUST025"/>
    <s v="Mark Carter"/>
    <s v="P010"/>
    <x v="8"/>
    <x v="0"/>
    <x v="2"/>
    <x v="10"/>
    <x v="2"/>
    <x v="1"/>
    <x v="0"/>
    <d v="2023-02-19T00:00:00"/>
    <x v="28"/>
    <d v="2026-01-15T16:10:35"/>
    <d v="2026-01-15T00:00:00"/>
    <d v="2024-07-31T00:00:00"/>
    <n v="1"/>
    <m/>
  </r>
  <r>
    <s v="TRX0002"/>
    <x v="51"/>
    <s v="CUST019"/>
    <s v="Daniel King"/>
    <s v="P007"/>
    <x v="6"/>
    <x v="2"/>
    <x v="0"/>
    <x v="8"/>
    <x v="0"/>
    <x v="0"/>
    <x v="0"/>
    <d v="2022-06-20T00:00:00"/>
    <x v="23"/>
    <d v="2026-01-15T16:10:35"/>
    <d v="2026-01-15T00:00:00"/>
    <d v="2024-07-31T00:00:00"/>
    <n v="2"/>
    <m/>
  </r>
  <r>
    <s v="TRX0217"/>
    <x v="52"/>
    <s v="CUST025"/>
    <s v="Mark Carter"/>
    <s v="P002"/>
    <x v="5"/>
    <x v="0"/>
    <x v="2"/>
    <x v="6"/>
    <x v="1"/>
    <x v="2"/>
    <x v="1"/>
    <d v="2023-03-14T00:00:00"/>
    <x v="10"/>
    <d v="2026-01-15T16:10:35"/>
    <d v="2026-01-15T00:00:00"/>
    <d v="2024-07-31T00:00:00"/>
    <n v="1"/>
    <m/>
  </r>
  <r>
    <s v="TRX0249"/>
    <x v="53"/>
    <s v="CUST030"/>
    <s v="Helen Roberts"/>
    <s v="P001"/>
    <x v="4"/>
    <x v="0"/>
    <x v="4"/>
    <x v="5"/>
    <x v="3"/>
    <x v="1"/>
    <x v="2"/>
    <d v="2021-11-23T00:00:00"/>
    <x v="11"/>
    <d v="2026-01-15T16:10:35"/>
    <d v="2026-01-15T00:00:00"/>
    <d v="2024-07-31T00:00:00"/>
    <n v="2"/>
    <m/>
  </r>
  <r>
    <s v="TRX0065"/>
    <x v="54"/>
    <s v="CUST016"/>
    <s v="Elizabeth Hall"/>
    <s v="P008"/>
    <x v="2"/>
    <x v="2"/>
    <x v="2"/>
    <x v="3"/>
    <x v="1"/>
    <x v="3"/>
    <x v="0"/>
    <d v="2021-12-12T00:00:00"/>
    <x v="22"/>
    <d v="2026-01-15T16:10:35"/>
    <d v="2026-01-15T00:00:00"/>
    <d v="2024-08-31T00:00:00"/>
    <n v="2"/>
    <m/>
  </r>
  <r>
    <s v="TRX0176"/>
    <x v="55"/>
    <s v="CUST044"/>
    <s v="Cynthia Price"/>
    <s v="P008"/>
    <x v="2"/>
    <x v="2"/>
    <x v="2"/>
    <x v="3"/>
    <x v="3"/>
    <x v="4"/>
    <x v="2"/>
    <d v="2022-04-16T00:00:00"/>
    <x v="22"/>
    <d v="2026-01-15T16:10:35"/>
    <d v="2026-01-15T00:00:00"/>
    <d v="2024-08-31T00:00:00"/>
    <n v="2"/>
    <m/>
  </r>
  <r>
    <s v="TRX0101"/>
    <x v="56"/>
    <s v="CUST010"/>
    <s v="Maria Garcia"/>
    <s v="P010"/>
    <x v="8"/>
    <x v="0"/>
    <x v="3"/>
    <x v="10"/>
    <x v="1"/>
    <x v="2"/>
    <x v="2"/>
    <d v="2024-04-11T00:00:00"/>
    <x v="27"/>
    <d v="2026-01-15T16:10:35"/>
    <d v="2026-01-15T00:00:00"/>
    <d v="2024-08-31T00:00:00"/>
    <n v="0"/>
    <m/>
  </r>
  <r>
    <s v="TRX0205"/>
    <x v="57"/>
    <s v="CUST025"/>
    <s v="Mark Carter"/>
    <s v="P007"/>
    <x v="6"/>
    <x v="2"/>
    <x v="1"/>
    <x v="8"/>
    <x v="1"/>
    <x v="2"/>
    <x v="0"/>
    <d v="2023-02-08T00:00:00"/>
    <x v="17"/>
    <d v="2026-01-15T16:10:35"/>
    <d v="2026-01-15T00:00:00"/>
    <d v="2024-08-31T00:00:00"/>
    <n v="1"/>
    <m/>
  </r>
  <r>
    <s v="TRX0020"/>
    <x v="58"/>
    <s v="CUST007"/>
    <s v="David Martinez"/>
    <s v="P003"/>
    <x v="3"/>
    <x v="0"/>
    <x v="4"/>
    <x v="3"/>
    <x v="3"/>
    <x v="1"/>
    <x v="1"/>
    <d v="2022-09-16T00:00:00"/>
    <x v="9"/>
    <d v="2026-01-15T16:10:35"/>
    <d v="2026-01-15T00:00:00"/>
    <d v="2024-08-31T00:00:00"/>
    <n v="1"/>
    <m/>
  </r>
  <r>
    <s v="TRX0075"/>
    <x v="58"/>
    <s v="CUST020"/>
    <s v="Margaret Wright"/>
    <s v="P009"/>
    <x v="0"/>
    <x v="0"/>
    <x v="1"/>
    <x v="7"/>
    <x v="2"/>
    <x v="4"/>
    <x v="1"/>
    <d v="2022-08-09T00:00:00"/>
    <x v="16"/>
    <d v="2026-01-15T16:10:35"/>
    <d v="2026-01-15T00:00:00"/>
    <d v="2024-08-31T00:00:00"/>
    <n v="2"/>
    <m/>
  </r>
  <r>
    <s v="TRX0098"/>
    <x v="58"/>
    <s v="CUST026"/>
    <s v="Karen Hill"/>
    <s v="P009"/>
    <x v="0"/>
    <x v="0"/>
    <x v="0"/>
    <x v="7"/>
    <x v="2"/>
    <x v="2"/>
    <x v="1"/>
    <d v="2021-09-26T00:00:00"/>
    <x v="0"/>
    <d v="2026-01-15T16:10:35"/>
    <d v="2026-01-15T00:00:00"/>
    <d v="2024-08-31T00:00:00"/>
    <n v="2"/>
    <m/>
  </r>
  <r>
    <s v="TRX0247"/>
    <x v="58"/>
    <s v="CUST046"/>
    <s v="Kathleen Bennett"/>
    <s v="P006"/>
    <x v="9"/>
    <x v="2"/>
    <x v="4"/>
    <x v="11"/>
    <x v="0"/>
    <x v="2"/>
    <x v="2"/>
    <d v="2021-09-19T00:00:00"/>
    <x v="37"/>
    <d v="2026-01-15T16:10:35"/>
    <d v="2026-01-15T00:00:00"/>
    <d v="2024-08-31T00:00:00"/>
    <n v="2"/>
    <m/>
  </r>
  <r>
    <s v="TRX0027"/>
    <x v="59"/>
    <s v="CUST028"/>
    <s v="Betty Campbell"/>
    <s v="P006"/>
    <x v="9"/>
    <x v="2"/>
    <x v="1"/>
    <x v="11"/>
    <x v="0"/>
    <x v="2"/>
    <x v="1"/>
    <d v="2023-03-06T00:00:00"/>
    <x v="21"/>
    <d v="2026-01-15T16:10:35"/>
    <d v="2026-01-15T00:00:00"/>
    <d v="2024-08-31T00:00:00"/>
    <n v="1"/>
    <m/>
  </r>
  <r>
    <s v="TRX0140"/>
    <x v="60"/>
    <s v="CUST025"/>
    <s v="Mark Carter"/>
    <s v="P010"/>
    <x v="8"/>
    <x v="0"/>
    <x v="2"/>
    <x v="10"/>
    <x v="0"/>
    <x v="4"/>
    <x v="1"/>
    <d v="2023-02-15T00:00:00"/>
    <x v="28"/>
    <d v="2026-01-15T16:10:35"/>
    <d v="2026-01-15T00:00:00"/>
    <d v="2024-08-31T00:00:00"/>
    <n v="1"/>
    <m/>
  </r>
  <r>
    <s v="TRX0132"/>
    <x v="61"/>
    <s v="CUST047"/>
    <s v="Gerald Murphy"/>
    <s v="P001"/>
    <x v="4"/>
    <x v="0"/>
    <x v="1"/>
    <x v="5"/>
    <x v="3"/>
    <x v="4"/>
    <x v="0"/>
    <d v="2021-11-26T00:00:00"/>
    <x v="29"/>
    <d v="2026-01-15T16:10:35"/>
    <d v="2026-01-15T00:00:00"/>
    <d v="2024-08-31T00:00:00"/>
    <n v="2"/>
    <m/>
  </r>
  <r>
    <s v="TRX0031"/>
    <x v="61"/>
    <s v="CUST036"/>
    <s v="Nancy Collins"/>
    <s v="P003"/>
    <x v="3"/>
    <x v="0"/>
    <x v="0"/>
    <x v="3"/>
    <x v="2"/>
    <x v="4"/>
    <x v="0"/>
    <d v="2022-01-13T00:00:00"/>
    <x v="6"/>
    <d v="2026-01-15T16:10:35"/>
    <d v="2026-01-15T00:00:00"/>
    <d v="2024-08-31T00:00:00"/>
    <n v="2"/>
    <m/>
  </r>
  <r>
    <s v="TRX0236"/>
    <x v="62"/>
    <s v="CUST044"/>
    <s v="Cynthia Price"/>
    <s v="P008"/>
    <x v="2"/>
    <x v="2"/>
    <x v="1"/>
    <x v="3"/>
    <x v="1"/>
    <x v="0"/>
    <x v="0"/>
    <d v="2024-01-19T00:00:00"/>
    <x v="2"/>
    <d v="2026-01-15T16:10:35"/>
    <d v="2026-01-15T00:00:00"/>
    <d v="2024-08-31T00:00:00"/>
    <n v="0"/>
    <m/>
  </r>
  <r>
    <s v="TRX0001"/>
    <x v="63"/>
    <s v="CUST039"/>
    <s v="Lawrence Reed"/>
    <s v="P004"/>
    <x v="7"/>
    <x v="1"/>
    <x v="0"/>
    <x v="9"/>
    <x v="0"/>
    <x v="0"/>
    <x v="1"/>
    <d v="2022-08-06T00:00:00"/>
    <x v="18"/>
    <d v="2026-01-15T16:10:35"/>
    <d v="2026-01-15T00:00:00"/>
    <d v="2024-08-31T00:00:00"/>
    <n v="2"/>
    <m/>
  </r>
  <r>
    <s v="TRX0037"/>
    <x v="63"/>
    <s v="CUST035"/>
    <s v="Harry Morgan"/>
    <s v="P009"/>
    <x v="0"/>
    <x v="0"/>
    <x v="2"/>
    <x v="7"/>
    <x v="0"/>
    <x v="1"/>
    <x v="2"/>
    <d v="2022-01-11T00:00:00"/>
    <x v="36"/>
    <d v="2026-01-15T16:10:35"/>
    <d v="2026-01-15T00:00:00"/>
    <d v="2024-08-31T00:00:00"/>
    <n v="2"/>
    <m/>
  </r>
  <r>
    <s v="TRX0058"/>
    <x v="64"/>
    <s v="CUST047"/>
    <s v="Gerald Murphy"/>
    <s v="P002"/>
    <x v="5"/>
    <x v="0"/>
    <x v="3"/>
    <x v="6"/>
    <x v="0"/>
    <x v="0"/>
    <x v="1"/>
    <d v="2021-10-28T00:00:00"/>
    <x v="38"/>
    <d v="2026-01-15T16:10:35"/>
    <d v="2026-01-15T00:00:00"/>
    <d v="2024-08-31T00:00:00"/>
    <n v="2"/>
    <m/>
  </r>
  <r>
    <s v="TRX0170"/>
    <x v="64"/>
    <s v="CUST034"/>
    <s v="Carol Evans"/>
    <s v="P003"/>
    <x v="3"/>
    <x v="0"/>
    <x v="0"/>
    <x v="3"/>
    <x v="0"/>
    <x v="3"/>
    <x v="1"/>
    <d v="2023-10-13T00:00:00"/>
    <x v="6"/>
    <d v="2026-01-15T16:10:35"/>
    <d v="2026-01-15T00:00:00"/>
    <d v="2024-08-31T00:00:00"/>
    <n v="0"/>
    <m/>
  </r>
  <r>
    <s v="TRX0248"/>
    <x v="65"/>
    <s v="CUST032"/>
    <s v="Sandra Phillips"/>
    <s v="P002"/>
    <x v="5"/>
    <x v="0"/>
    <x v="2"/>
    <x v="6"/>
    <x v="1"/>
    <x v="2"/>
    <x v="1"/>
    <d v="2021-08-13T00:00:00"/>
    <x v="10"/>
    <d v="2026-01-15T16:10:35"/>
    <d v="2026-01-15T00:00:00"/>
    <d v="2024-08-31T00:00:00"/>
    <n v="3"/>
    <m/>
  </r>
  <r>
    <s v="TRX0099"/>
    <x v="66"/>
    <s v="CUST034"/>
    <s v="Carol Evans"/>
    <s v="P009"/>
    <x v="0"/>
    <x v="0"/>
    <x v="3"/>
    <x v="7"/>
    <x v="1"/>
    <x v="3"/>
    <x v="1"/>
    <d v="2022-05-04T00:00:00"/>
    <x v="39"/>
    <d v="2026-01-15T16:10:35"/>
    <d v="2026-01-15T00:00:00"/>
    <d v="2024-09-30T00:00:00"/>
    <n v="2"/>
    <m/>
  </r>
  <r>
    <s v="TRX0074"/>
    <x v="66"/>
    <s v="CUST023"/>
    <s v="Paul Baker"/>
    <s v="P009"/>
    <x v="0"/>
    <x v="0"/>
    <x v="3"/>
    <x v="7"/>
    <x v="3"/>
    <x v="2"/>
    <x v="1"/>
    <d v="2024-02-10T00:00:00"/>
    <x v="39"/>
    <d v="2026-01-15T16:10:35"/>
    <d v="2026-01-15T00:00:00"/>
    <d v="2024-09-30T00:00:00"/>
    <n v="0"/>
    <m/>
  </r>
  <r>
    <s v="TRX0225"/>
    <x v="67"/>
    <s v="CUST039"/>
    <s v="Lawrence Reed"/>
    <s v="P002"/>
    <x v="5"/>
    <x v="0"/>
    <x v="2"/>
    <x v="6"/>
    <x v="3"/>
    <x v="0"/>
    <x v="1"/>
    <d v="2022-11-05T00:00:00"/>
    <x v="10"/>
    <d v="2026-01-15T16:10:35"/>
    <d v="2026-01-15T00:00:00"/>
    <d v="2024-09-30T00:00:00"/>
    <n v="1"/>
    <m/>
  </r>
  <r>
    <s v="TRX0100"/>
    <x v="68"/>
    <s v="CUST031"/>
    <s v="Steven Turner"/>
    <s v="P005"/>
    <x v="1"/>
    <x v="1"/>
    <x v="0"/>
    <x v="4"/>
    <x v="1"/>
    <x v="0"/>
    <x v="1"/>
    <d v="2022-06-05T00:00:00"/>
    <x v="1"/>
    <d v="2026-01-15T16:10:35"/>
    <d v="2026-01-15T00:00:00"/>
    <d v="2024-09-30T00:00:00"/>
    <n v="2"/>
    <m/>
  </r>
  <r>
    <s v="TRX0142"/>
    <x v="69"/>
    <s v="CUST002"/>
    <s v="Emma Wilson"/>
    <s v="P005"/>
    <x v="1"/>
    <x v="1"/>
    <x v="0"/>
    <x v="4"/>
    <x v="2"/>
    <x v="4"/>
    <x v="2"/>
    <d v="2022-07-06T00:00:00"/>
    <x v="1"/>
    <d v="2026-01-15T16:10:35"/>
    <d v="2026-01-15T00:00:00"/>
    <d v="2024-09-30T00:00:00"/>
    <n v="2"/>
    <m/>
  </r>
  <r>
    <s v="TRX0112"/>
    <x v="69"/>
    <s v="CUST008"/>
    <s v="Jennifer Taylor"/>
    <s v="P004"/>
    <x v="7"/>
    <x v="1"/>
    <x v="4"/>
    <x v="9"/>
    <x v="0"/>
    <x v="2"/>
    <x v="0"/>
    <d v="2021-11-30T00:00:00"/>
    <x v="40"/>
    <d v="2026-01-15T16:10:35"/>
    <d v="2026-01-15T00:00:00"/>
    <d v="2024-09-30T00:00:00"/>
    <n v="2"/>
    <m/>
  </r>
  <r>
    <s v="TRX0161"/>
    <x v="70"/>
    <s v="CUST017"/>
    <s v="Charles Allen"/>
    <s v="P004"/>
    <x v="7"/>
    <x v="1"/>
    <x v="3"/>
    <x v="9"/>
    <x v="0"/>
    <x v="3"/>
    <x v="0"/>
    <d v="2022-05-12T00:00:00"/>
    <x v="26"/>
    <d v="2026-01-15T16:10:35"/>
    <d v="2026-01-15T00:00:00"/>
    <d v="2024-09-30T00:00:00"/>
    <n v="2"/>
    <m/>
  </r>
  <r>
    <s v="TRX0108"/>
    <x v="71"/>
    <s v="CUST024"/>
    <s v="Dorothy Nelson"/>
    <s v="P007"/>
    <x v="6"/>
    <x v="2"/>
    <x v="0"/>
    <x v="8"/>
    <x v="1"/>
    <x v="0"/>
    <x v="1"/>
    <d v="2021-10-25T00:00:00"/>
    <x v="23"/>
    <d v="2026-01-15T16:10:35"/>
    <d v="2026-01-15T00:00:00"/>
    <d v="2024-09-30T00:00:00"/>
    <n v="2"/>
    <m/>
  </r>
  <r>
    <s v="TRX0211"/>
    <x v="72"/>
    <s v="CUST046"/>
    <s v="Kathleen Bennett"/>
    <s v="P010"/>
    <x v="8"/>
    <x v="0"/>
    <x v="2"/>
    <x v="10"/>
    <x v="1"/>
    <x v="1"/>
    <x v="1"/>
    <d v="2022-03-21T00:00:00"/>
    <x v="28"/>
    <d v="2026-01-15T16:10:35"/>
    <d v="2026-01-15T00:00:00"/>
    <d v="2024-09-30T00:00:00"/>
    <n v="2"/>
    <m/>
  </r>
  <r>
    <s v="TRX0005"/>
    <x v="73"/>
    <s v="CUST042"/>
    <s v="Ruth Brooks"/>
    <s v="P003"/>
    <x v="3"/>
    <x v="0"/>
    <x v="4"/>
    <x v="3"/>
    <x v="0"/>
    <x v="2"/>
    <x v="0"/>
    <d v="2022-12-14T00:00:00"/>
    <x v="9"/>
    <d v="2026-01-15T16:10:35"/>
    <d v="2026-01-15T00:00:00"/>
    <d v="2024-09-30T00:00:00"/>
    <n v="1"/>
    <m/>
  </r>
  <r>
    <s v="TRX0195"/>
    <x v="74"/>
    <s v="CUST026"/>
    <s v="Karen Hill"/>
    <s v="P009"/>
    <x v="0"/>
    <x v="0"/>
    <x v="2"/>
    <x v="7"/>
    <x v="2"/>
    <x v="1"/>
    <x v="0"/>
    <d v="2023-03-08T00:00:00"/>
    <x v="36"/>
    <d v="2026-01-15T16:10:35"/>
    <d v="2026-01-15T00:00:00"/>
    <d v="2024-09-30T00:00:00"/>
    <n v="1"/>
    <m/>
  </r>
  <r>
    <s v="TRX0054"/>
    <x v="74"/>
    <s v="CUST004"/>
    <s v="Sarah Davis"/>
    <s v="P006"/>
    <x v="9"/>
    <x v="2"/>
    <x v="4"/>
    <x v="11"/>
    <x v="3"/>
    <x v="4"/>
    <x v="0"/>
    <d v="2021-09-19T00:00:00"/>
    <x v="37"/>
    <d v="2026-01-15T16:10:35"/>
    <d v="2026-01-15T00:00:00"/>
    <d v="2024-09-30T00:00:00"/>
    <n v="2"/>
    <m/>
  </r>
  <r>
    <s v="TRX0077"/>
    <x v="75"/>
    <s v="CUST019"/>
    <s v="Daniel King"/>
    <s v="P010"/>
    <x v="8"/>
    <x v="0"/>
    <x v="1"/>
    <x v="10"/>
    <x v="1"/>
    <x v="4"/>
    <x v="1"/>
    <d v="2021-09-07T00:00:00"/>
    <x v="19"/>
    <d v="2026-01-15T16:10:35"/>
    <d v="2026-01-15T00:00:00"/>
    <d v="2024-09-30T00:00:00"/>
    <n v="3"/>
    <m/>
  </r>
  <r>
    <s v="TRX0111"/>
    <x v="75"/>
    <s v="CUST011"/>
    <s v="William White"/>
    <s v="P003"/>
    <x v="3"/>
    <x v="0"/>
    <x v="3"/>
    <x v="3"/>
    <x v="2"/>
    <x v="4"/>
    <x v="2"/>
    <d v="2021-10-13T00:00:00"/>
    <x v="5"/>
    <d v="2026-01-15T16:10:35"/>
    <d v="2026-01-15T00:00:00"/>
    <d v="2024-09-30T00:00:00"/>
    <n v="2"/>
    <m/>
  </r>
  <r>
    <s v="TRX0123"/>
    <x v="75"/>
    <s v="CUST041"/>
    <s v="Peter Richardson"/>
    <s v="P002"/>
    <x v="5"/>
    <x v="0"/>
    <x v="4"/>
    <x v="6"/>
    <x v="2"/>
    <x v="1"/>
    <x v="0"/>
    <d v="2022-02-26T00:00:00"/>
    <x v="13"/>
    <d v="2026-01-15T16:10:35"/>
    <d v="2026-01-15T00:00:00"/>
    <d v="2024-09-30T00:00:00"/>
    <n v="2"/>
    <m/>
  </r>
  <r>
    <s v="TRX0177"/>
    <x v="76"/>
    <s v="CUST032"/>
    <s v="Sandra Phillips"/>
    <s v="P001"/>
    <x v="4"/>
    <x v="0"/>
    <x v="0"/>
    <x v="5"/>
    <x v="1"/>
    <x v="2"/>
    <x v="2"/>
    <d v="2023-08-19T00:00:00"/>
    <x v="4"/>
    <d v="2026-01-15T16:10:35"/>
    <d v="2026-01-15T00:00:00"/>
    <d v="2024-09-30T00:00:00"/>
    <n v="1"/>
    <m/>
  </r>
  <r>
    <s v="TRX0119"/>
    <x v="77"/>
    <s v="CUST014"/>
    <s v="Linda Martin"/>
    <s v="P008"/>
    <x v="2"/>
    <x v="2"/>
    <x v="0"/>
    <x v="3"/>
    <x v="2"/>
    <x v="4"/>
    <x v="0"/>
    <d v="2022-11-21T00:00:00"/>
    <x v="6"/>
    <d v="2026-01-15T16:10:35"/>
    <d v="2026-01-15T00:00:00"/>
    <d v="2024-09-30T00:00:00"/>
    <n v="1"/>
    <m/>
  </r>
  <r>
    <s v="TRX0181"/>
    <x v="78"/>
    <s v="CUST012"/>
    <s v="Patricia Moore"/>
    <s v="P007"/>
    <x v="6"/>
    <x v="2"/>
    <x v="2"/>
    <x v="8"/>
    <x v="3"/>
    <x v="0"/>
    <x v="0"/>
    <d v="2022-01-08T00:00:00"/>
    <x v="31"/>
    <d v="2026-01-15T16:10:35"/>
    <d v="2026-01-15T00:00:00"/>
    <d v="2024-09-30T00:00:00"/>
    <n v="2"/>
    <m/>
  </r>
  <r>
    <s v="TRX0129"/>
    <x v="79"/>
    <s v="CUST015"/>
    <s v="Richard Lee"/>
    <s v="P006"/>
    <x v="9"/>
    <x v="2"/>
    <x v="3"/>
    <x v="11"/>
    <x v="3"/>
    <x v="4"/>
    <x v="2"/>
    <d v="2023-01-27T00:00:00"/>
    <x v="41"/>
    <d v="2026-01-15T16:10:35"/>
    <d v="2026-01-15T00:00:00"/>
    <d v="2024-09-30T00:00:00"/>
    <n v="1"/>
    <m/>
  </r>
  <r>
    <s v="TRX0174"/>
    <x v="80"/>
    <s v="CUST003"/>
    <s v="Michael Brown"/>
    <s v="P007"/>
    <x v="6"/>
    <x v="2"/>
    <x v="4"/>
    <x v="8"/>
    <x v="0"/>
    <x v="0"/>
    <x v="1"/>
    <d v="2021-09-21T00:00:00"/>
    <x v="15"/>
    <d v="2026-01-15T16:10:35"/>
    <d v="2026-01-15T00:00:00"/>
    <d v="2024-10-31T00:00:00"/>
    <n v="3"/>
    <m/>
  </r>
  <r>
    <s v="TRX0146"/>
    <x v="81"/>
    <s v="CUST010"/>
    <s v="Maria Garcia"/>
    <s v="P005"/>
    <x v="1"/>
    <x v="1"/>
    <x v="2"/>
    <x v="4"/>
    <x v="1"/>
    <x v="0"/>
    <x v="0"/>
    <d v="2022-01-18T00:00:00"/>
    <x v="3"/>
    <d v="2026-01-15T16:10:35"/>
    <d v="2026-01-15T00:00:00"/>
    <d v="2024-10-31T00:00:00"/>
    <n v="2"/>
    <m/>
  </r>
  <r>
    <s v="TRX0203"/>
    <x v="81"/>
    <s v="CUST032"/>
    <s v="Sandra Phillips"/>
    <s v="P003"/>
    <x v="3"/>
    <x v="0"/>
    <x v="4"/>
    <x v="3"/>
    <x v="1"/>
    <x v="2"/>
    <x v="1"/>
    <d v="2023-05-30T00:00:00"/>
    <x v="9"/>
    <d v="2026-01-15T16:10:35"/>
    <d v="2026-01-15T00:00:00"/>
    <d v="2024-10-31T00:00:00"/>
    <n v="1"/>
    <m/>
  </r>
  <r>
    <s v="TRX0055"/>
    <x v="82"/>
    <s v="CUST016"/>
    <s v="Elizabeth Hall"/>
    <s v="P002"/>
    <x v="5"/>
    <x v="0"/>
    <x v="2"/>
    <x v="6"/>
    <x v="3"/>
    <x v="4"/>
    <x v="1"/>
    <d v="2023-12-14T00:00:00"/>
    <x v="10"/>
    <d v="2026-01-15T16:10:35"/>
    <d v="2026-01-15T00:00:00"/>
    <d v="2024-10-31T00:00:00"/>
    <n v="0"/>
    <m/>
  </r>
  <r>
    <s v="TRX0218"/>
    <x v="82"/>
    <s v="CUST034"/>
    <s v="Carol Evans"/>
    <s v="P008"/>
    <x v="2"/>
    <x v="2"/>
    <x v="0"/>
    <x v="3"/>
    <x v="1"/>
    <x v="1"/>
    <x v="2"/>
    <d v="2023-01-14T00:00:00"/>
    <x v="6"/>
    <d v="2026-01-15T16:10:35"/>
    <d v="2026-01-15T00:00:00"/>
    <d v="2024-10-31T00:00:00"/>
    <n v="1"/>
    <m/>
  </r>
  <r>
    <s v="TRX0085"/>
    <x v="83"/>
    <s v="CUST019"/>
    <s v="Daniel King"/>
    <s v="P007"/>
    <x v="6"/>
    <x v="2"/>
    <x v="0"/>
    <x v="8"/>
    <x v="1"/>
    <x v="0"/>
    <x v="2"/>
    <d v="2023-09-05T00:00:00"/>
    <x v="23"/>
    <d v="2026-01-15T16:10:35"/>
    <d v="2026-01-15T00:00:00"/>
    <d v="2024-10-31T00:00:00"/>
    <n v="1"/>
    <m/>
  </r>
  <r>
    <s v="TRX0158"/>
    <x v="84"/>
    <s v="CUST027"/>
    <s v="George Adams"/>
    <s v="P001"/>
    <x v="4"/>
    <x v="0"/>
    <x v="0"/>
    <x v="5"/>
    <x v="2"/>
    <x v="3"/>
    <x v="0"/>
    <d v="2023-10-16T00:00:00"/>
    <x v="4"/>
    <d v="2026-01-15T16:10:35"/>
    <d v="2026-01-15T00:00:00"/>
    <d v="2024-10-31T00:00:00"/>
    <n v="0"/>
    <m/>
  </r>
  <r>
    <s v="TRX0173"/>
    <x v="85"/>
    <s v="CUST018"/>
    <s v="Barbara Young"/>
    <s v="P002"/>
    <x v="5"/>
    <x v="0"/>
    <x v="1"/>
    <x v="6"/>
    <x v="0"/>
    <x v="4"/>
    <x v="2"/>
    <d v="2023-03-23T00:00:00"/>
    <x v="12"/>
    <d v="2026-01-15T16:10:35"/>
    <d v="2026-01-15T00:00:00"/>
    <d v="2024-10-31T00:00:00"/>
    <n v="1"/>
    <m/>
  </r>
  <r>
    <s v="TRX0034"/>
    <x v="85"/>
    <s v="CUST049"/>
    <s v="Raymond Ross"/>
    <s v="P002"/>
    <x v="5"/>
    <x v="0"/>
    <x v="4"/>
    <x v="6"/>
    <x v="1"/>
    <x v="0"/>
    <x v="0"/>
    <d v="2024-04-03T00:00:00"/>
    <x v="13"/>
    <d v="2026-01-15T16:10:35"/>
    <d v="2026-01-15T00:00:00"/>
    <d v="2024-10-31T00:00:00"/>
    <n v="0"/>
    <m/>
  </r>
  <r>
    <s v="TRX0189"/>
    <x v="85"/>
    <s v="CUST040"/>
    <s v="Sharon Butler"/>
    <s v="P001"/>
    <x v="4"/>
    <x v="0"/>
    <x v="3"/>
    <x v="5"/>
    <x v="1"/>
    <x v="4"/>
    <x v="2"/>
    <d v="2024-03-18T00:00:00"/>
    <x v="8"/>
    <d v="2026-01-15T16:10:35"/>
    <d v="2026-01-15T00:00:00"/>
    <d v="2024-10-31T00:00:00"/>
    <n v="0"/>
    <m/>
  </r>
  <r>
    <s v="TRX0190"/>
    <x v="86"/>
    <s v="CUST039"/>
    <s v="Lawrence Reed"/>
    <s v="P003"/>
    <x v="3"/>
    <x v="0"/>
    <x v="2"/>
    <x v="3"/>
    <x v="1"/>
    <x v="3"/>
    <x v="0"/>
    <d v="2022-12-21T00:00:00"/>
    <x v="22"/>
    <d v="2026-01-15T16:10:35"/>
    <d v="2026-01-15T00:00:00"/>
    <d v="2024-10-31T00:00:00"/>
    <n v="1"/>
    <m/>
  </r>
  <r>
    <s v="TRX0079"/>
    <x v="87"/>
    <s v="CUST039"/>
    <s v="Lawrence Reed"/>
    <s v="P010"/>
    <x v="8"/>
    <x v="0"/>
    <x v="0"/>
    <x v="10"/>
    <x v="2"/>
    <x v="0"/>
    <x v="0"/>
    <d v="2021-12-21T00:00:00"/>
    <x v="25"/>
    <d v="2026-01-15T16:10:35"/>
    <d v="2026-01-15T00:00:00"/>
    <d v="2024-10-31T00:00:00"/>
    <n v="2"/>
    <m/>
  </r>
  <r>
    <s v="TRX0095"/>
    <x v="88"/>
    <s v="CUST046"/>
    <s v="Kathleen Bennett"/>
    <s v="P003"/>
    <x v="3"/>
    <x v="0"/>
    <x v="2"/>
    <x v="3"/>
    <x v="2"/>
    <x v="0"/>
    <x v="0"/>
    <d v="2021-10-04T00:00:00"/>
    <x v="22"/>
    <d v="2026-01-15T16:10:35"/>
    <d v="2026-01-15T00:00:00"/>
    <d v="2024-10-31T00:00:00"/>
    <n v="3"/>
    <m/>
  </r>
  <r>
    <s v="TRX0009"/>
    <x v="88"/>
    <s v="CUST004"/>
    <s v="Sarah Davis"/>
    <s v="P002"/>
    <x v="5"/>
    <x v="0"/>
    <x v="2"/>
    <x v="6"/>
    <x v="0"/>
    <x v="0"/>
    <x v="0"/>
    <d v="2023-03-07T00:00:00"/>
    <x v="10"/>
    <d v="2026-01-15T16:10:35"/>
    <d v="2026-01-15T00:00:00"/>
    <d v="2024-10-31T00:00:00"/>
    <n v="1"/>
    <m/>
  </r>
  <r>
    <s v="TRX0167"/>
    <x v="89"/>
    <s v="CUST028"/>
    <s v="Betty Campbell"/>
    <s v="P002"/>
    <x v="5"/>
    <x v="0"/>
    <x v="1"/>
    <x v="6"/>
    <x v="0"/>
    <x v="2"/>
    <x v="1"/>
    <d v="2022-03-15T00:00:00"/>
    <x v="12"/>
    <d v="2026-01-15T16:10:35"/>
    <d v="2026-01-15T00:00:00"/>
    <d v="2024-10-31T00:00:00"/>
    <n v="2"/>
    <m/>
  </r>
  <r>
    <s v="TRX0153"/>
    <x v="90"/>
    <s v="CUST049"/>
    <s v="Raymond Ross"/>
    <s v="P010"/>
    <x v="8"/>
    <x v="0"/>
    <x v="0"/>
    <x v="10"/>
    <x v="1"/>
    <x v="2"/>
    <x v="2"/>
    <d v="2022-02-23T00:00:00"/>
    <x v="25"/>
    <d v="2026-01-15T16:10:35"/>
    <d v="2026-01-15T00:00:00"/>
    <d v="2024-10-31T00:00:00"/>
    <n v="2"/>
    <m/>
  </r>
  <r>
    <s v="TRX0057"/>
    <x v="91"/>
    <s v="CUST023"/>
    <s v="Paul Baker"/>
    <s v="P009"/>
    <x v="0"/>
    <x v="0"/>
    <x v="1"/>
    <x v="7"/>
    <x v="1"/>
    <x v="1"/>
    <x v="2"/>
    <d v="2022-11-16T00:00:00"/>
    <x v="16"/>
    <d v="2026-01-15T16:10:35"/>
    <d v="2026-01-15T00:00:00"/>
    <d v="2024-11-30T00:00:00"/>
    <n v="1"/>
    <m/>
  </r>
  <r>
    <s v="TRX0017"/>
    <x v="92"/>
    <s v="CUST026"/>
    <s v="Karen Hill"/>
    <s v="P007"/>
    <x v="6"/>
    <x v="2"/>
    <x v="0"/>
    <x v="8"/>
    <x v="1"/>
    <x v="1"/>
    <x v="2"/>
    <d v="2021-11-02T00:00:00"/>
    <x v="23"/>
    <d v="2026-01-15T16:10:35"/>
    <d v="2026-01-15T00:00:00"/>
    <d v="2024-11-30T00:00:00"/>
    <n v="3"/>
    <m/>
  </r>
  <r>
    <s v="TRX0060"/>
    <x v="93"/>
    <s v="CUST012"/>
    <s v="Patricia Moore"/>
    <s v="P010"/>
    <x v="8"/>
    <x v="0"/>
    <x v="0"/>
    <x v="10"/>
    <x v="1"/>
    <x v="2"/>
    <x v="1"/>
    <d v="2021-08-12T00:00:00"/>
    <x v="25"/>
    <d v="2026-01-15T16:10:35"/>
    <d v="2026-01-15T00:00:00"/>
    <d v="2024-11-30T00:00:00"/>
    <n v="3"/>
    <m/>
  </r>
  <r>
    <s v="TRX0109"/>
    <x v="94"/>
    <s v="CUST010"/>
    <s v="Maria Garcia"/>
    <s v="P008"/>
    <x v="2"/>
    <x v="2"/>
    <x v="2"/>
    <x v="3"/>
    <x v="1"/>
    <x v="3"/>
    <x v="1"/>
    <d v="2022-10-14T00:00:00"/>
    <x v="22"/>
    <d v="2026-01-15T16:10:35"/>
    <d v="2026-01-15T00:00:00"/>
    <d v="2024-11-30T00:00:00"/>
    <n v="2"/>
    <m/>
  </r>
  <r>
    <s v="TRX0090"/>
    <x v="95"/>
    <s v="CUST020"/>
    <s v="Margaret Wright"/>
    <s v="P009"/>
    <x v="0"/>
    <x v="0"/>
    <x v="3"/>
    <x v="7"/>
    <x v="1"/>
    <x v="2"/>
    <x v="1"/>
    <d v="2022-09-24T00:00:00"/>
    <x v="39"/>
    <d v="2026-01-15T16:10:35"/>
    <d v="2026-01-15T00:00:00"/>
    <d v="2024-11-30T00:00:00"/>
    <n v="2"/>
    <m/>
  </r>
  <r>
    <s v="TRX0035"/>
    <x v="96"/>
    <s v="CUST041"/>
    <s v="Peter Richardson"/>
    <s v="P003"/>
    <x v="3"/>
    <x v="0"/>
    <x v="0"/>
    <x v="3"/>
    <x v="0"/>
    <x v="2"/>
    <x v="0"/>
    <d v="2022-07-27T00:00:00"/>
    <x v="6"/>
    <d v="2026-01-15T16:10:35"/>
    <d v="2026-01-15T00:00:00"/>
    <d v="2024-11-30T00:00:00"/>
    <n v="2"/>
    <m/>
  </r>
  <r>
    <s v="TRX0172"/>
    <x v="96"/>
    <s v="CUST023"/>
    <s v="Paul Baker"/>
    <s v="P005"/>
    <x v="1"/>
    <x v="1"/>
    <x v="1"/>
    <x v="4"/>
    <x v="2"/>
    <x v="3"/>
    <x v="1"/>
    <d v="2022-05-13T00:00:00"/>
    <x v="42"/>
    <d v="2026-01-15T16:10:35"/>
    <d v="2026-01-15T00:00:00"/>
    <d v="2024-11-30T00:00:00"/>
    <n v="2"/>
    <m/>
  </r>
  <r>
    <s v="TRX0076"/>
    <x v="96"/>
    <s v="CUST012"/>
    <s v="Patricia Moore"/>
    <s v="P009"/>
    <x v="0"/>
    <x v="0"/>
    <x v="4"/>
    <x v="7"/>
    <x v="1"/>
    <x v="3"/>
    <x v="2"/>
    <d v="2022-04-08T00:00:00"/>
    <x v="14"/>
    <d v="2026-01-15T16:10:35"/>
    <d v="2026-01-15T00:00:00"/>
    <d v="2024-11-30T00:00:00"/>
    <n v="2"/>
    <m/>
  </r>
  <r>
    <s v="TRX0210"/>
    <x v="97"/>
    <s v="CUST004"/>
    <s v="Sarah Davis"/>
    <s v="P008"/>
    <x v="2"/>
    <x v="2"/>
    <x v="1"/>
    <x v="3"/>
    <x v="2"/>
    <x v="0"/>
    <x v="0"/>
    <d v="2022-12-06T00:00:00"/>
    <x v="2"/>
    <d v="2026-01-15T16:10:35"/>
    <d v="2026-01-15T00:00:00"/>
    <d v="2024-11-30T00:00:00"/>
    <n v="1"/>
    <m/>
  </r>
  <r>
    <s v="TRX0149"/>
    <x v="97"/>
    <s v="CUST027"/>
    <s v="George Adams"/>
    <s v="P005"/>
    <x v="1"/>
    <x v="1"/>
    <x v="0"/>
    <x v="4"/>
    <x v="3"/>
    <x v="1"/>
    <x v="2"/>
    <d v="2023-11-30T00:00:00"/>
    <x v="1"/>
    <d v="2026-01-15T16:10:35"/>
    <d v="2026-01-15T00:00:00"/>
    <d v="2024-11-30T00:00:00"/>
    <n v="0"/>
    <m/>
  </r>
  <r>
    <s v="TRX0073"/>
    <x v="98"/>
    <s v="CUST032"/>
    <s v="Sandra Phillips"/>
    <s v="P008"/>
    <x v="2"/>
    <x v="2"/>
    <x v="1"/>
    <x v="3"/>
    <x v="0"/>
    <x v="2"/>
    <x v="0"/>
    <d v="2022-11-04T00:00:00"/>
    <x v="2"/>
    <d v="2026-01-15T16:10:35"/>
    <d v="2026-01-15T00:00:00"/>
    <d v="2024-11-30T00:00:00"/>
    <n v="2"/>
    <m/>
  </r>
  <r>
    <s v="TRX0033"/>
    <x v="98"/>
    <s v="CUST025"/>
    <s v="Mark Carter"/>
    <s v="P002"/>
    <x v="5"/>
    <x v="0"/>
    <x v="2"/>
    <x v="6"/>
    <x v="2"/>
    <x v="3"/>
    <x v="2"/>
    <d v="2022-07-28T00:00:00"/>
    <x v="10"/>
    <d v="2026-01-15T16:10:35"/>
    <d v="2026-01-15T00:00:00"/>
    <d v="2024-11-30T00:00:00"/>
    <n v="2"/>
    <m/>
  </r>
  <r>
    <s v="TRX0160"/>
    <x v="99"/>
    <s v="CUST029"/>
    <s v="Edward Mitchell"/>
    <s v="P006"/>
    <x v="9"/>
    <x v="2"/>
    <x v="4"/>
    <x v="11"/>
    <x v="3"/>
    <x v="0"/>
    <x v="1"/>
    <d v="2021-08-19T00:00:00"/>
    <x v="37"/>
    <d v="2026-01-15T16:10:35"/>
    <d v="2026-01-15T00:00:00"/>
    <d v="2024-11-30T00:00:00"/>
    <n v="3"/>
    <m/>
  </r>
  <r>
    <s v="TRX0145"/>
    <x v="100"/>
    <s v="CUST033"/>
    <s v="Frank Torres"/>
    <s v="P005"/>
    <x v="1"/>
    <x v="1"/>
    <x v="3"/>
    <x v="4"/>
    <x v="3"/>
    <x v="3"/>
    <x v="2"/>
    <d v="2021-12-30T00:00:00"/>
    <x v="30"/>
    <d v="2026-01-15T16:10:35"/>
    <d v="2026-01-15T00:00:00"/>
    <d v="2024-11-30T00:00:00"/>
    <n v="2"/>
    <m/>
  </r>
  <r>
    <s v="TRX0148"/>
    <x v="100"/>
    <s v="CUST004"/>
    <s v="Sarah Davis"/>
    <s v="P002"/>
    <x v="5"/>
    <x v="0"/>
    <x v="0"/>
    <x v="6"/>
    <x v="2"/>
    <x v="3"/>
    <x v="2"/>
    <d v="2022-01-22T00:00:00"/>
    <x v="7"/>
    <d v="2026-01-15T16:10:35"/>
    <d v="2026-01-15T00:00:00"/>
    <d v="2024-11-30T00:00:00"/>
    <n v="2"/>
    <m/>
  </r>
  <r>
    <s v="TRX0012"/>
    <x v="101"/>
    <s v="CUST045"/>
    <s v="Douglas Watson"/>
    <s v="P009"/>
    <x v="0"/>
    <x v="0"/>
    <x v="1"/>
    <x v="7"/>
    <x v="1"/>
    <x v="2"/>
    <x v="0"/>
    <d v="2022-11-08T00:00:00"/>
    <x v="16"/>
    <d v="2026-01-15T16:10:35"/>
    <d v="2026-01-15T00:00:00"/>
    <d v="2024-11-30T00:00:00"/>
    <n v="2"/>
    <m/>
  </r>
  <r>
    <s v="TRX0206"/>
    <x v="102"/>
    <s v="CUST014"/>
    <s v="Linda Martin"/>
    <s v="P008"/>
    <x v="2"/>
    <x v="2"/>
    <x v="2"/>
    <x v="3"/>
    <x v="0"/>
    <x v="1"/>
    <x v="2"/>
    <d v="2023-06-24T00:00:00"/>
    <x v="22"/>
    <d v="2026-01-15T16:10:35"/>
    <d v="2026-01-15T00:00:00"/>
    <d v="2024-11-30T00:00:00"/>
    <n v="1"/>
    <m/>
  </r>
  <r>
    <s v="TRX0045"/>
    <x v="103"/>
    <s v="CUST021"/>
    <s v="Kevin Scott"/>
    <s v="P007"/>
    <x v="6"/>
    <x v="2"/>
    <x v="0"/>
    <x v="8"/>
    <x v="0"/>
    <x v="1"/>
    <x v="1"/>
    <d v="2022-04-08T00:00:00"/>
    <x v="23"/>
    <d v="2026-01-15T16:10:35"/>
    <d v="2026-01-15T00:00:00"/>
    <d v="2024-12-31T00:00:00"/>
    <n v="2"/>
    <m/>
  </r>
  <r>
    <s v="TRX0094"/>
    <x v="103"/>
    <s v="CUST017"/>
    <s v="Charles Allen"/>
    <s v="P009"/>
    <x v="0"/>
    <x v="0"/>
    <x v="1"/>
    <x v="7"/>
    <x v="0"/>
    <x v="0"/>
    <x v="1"/>
    <d v="2021-10-16T00:00:00"/>
    <x v="16"/>
    <d v="2026-01-15T16:10:35"/>
    <d v="2026-01-15T00:00:00"/>
    <d v="2024-12-31T00:00:00"/>
    <n v="3"/>
    <m/>
  </r>
  <r>
    <s v="TRX0133"/>
    <x v="103"/>
    <s v="CUST013"/>
    <s v="Joseph Jackson"/>
    <s v="P003"/>
    <x v="3"/>
    <x v="0"/>
    <x v="2"/>
    <x v="3"/>
    <x v="0"/>
    <x v="1"/>
    <x v="1"/>
    <d v="2021-10-06T00:00:00"/>
    <x v="22"/>
    <d v="2026-01-15T16:10:35"/>
    <d v="2026-01-15T00:00:00"/>
    <d v="2024-12-31T00:00:00"/>
    <n v="3"/>
    <m/>
  </r>
  <r>
    <s v="TRX0201"/>
    <x v="103"/>
    <s v="CUST025"/>
    <s v="Mark Carter"/>
    <s v="P002"/>
    <x v="5"/>
    <x v="0"/>
    <x v="1"/>
    <x v="6"/>
    <x v="3"/>
    <x v="3"/>
    <x v="2"/>
    <d v="2023-01-18T00:00:00"/>
    <x v="12"/>
    <d v="2026-01-15T16:10:35"/>
    <d v="2026-01-15T00:00:00"/>
    <d v="2024-12-31T00:00:00"/>
    <n v="1"/>
    <m/>
  </r>
  <r>
    <s v="TRX0137"/>
    <x v="104"/>
    <s v="CUST011"/>
    <s v="William White"/>
    <s v="P009"/>
    <x v="0"/>
    <x v="0"/>
    <x v="4"/>
    <x v="7"/>
    <x v="2"/>
    <x v="4"/>
    <x v="1"/>
    <d v="2023-06-21T00:00:00"/>
    <x v="14"/>
    <d v="2026-01-15T16:10:35"/>
    <d v="2026-01-15T00:00:00"/>
    <d v="2024-12-31T00:00:00"/>
    <n v="1"/>
    <m/>
  </r>
  <r>
    <s v="TRX0066"/>
    <x v="105"/>
    <s v="CUST024"/>
    <s v="Dorothy Nelson"/>
    <s v="P002"/>
    <x v="5"/>
    <x v="0"/>
    <x v="4"/>
    <x v="6"/>
    <x v="1"/>
    <x v="2"/>
    <x v="1"/>
    <d v="2022-05-22T00:00:00"/>
    <x v="13"/>
    <d v="2026-01-15T16:10:35"/>
    <d v="2026-01-15T00:00:00"/>
    <d v="2024-12-31T00:00:00"/>
    <n v="2"/>
    <m/>
  </r>
  <r>
    <s v="TRX0180"/>
    <x v="106"/>
    <s v="CUST036"/>
    <s v="Nancy Collins"/>
    <s v="P009"/>
    <x v="0"/>
    <x v="0"/>
    <x v="2"/>
    <x v="7"/>
    <x v="1"/>
    <x v="0"/>
    <x v="1"/>
    <d v="2021-07-19T00:00:00"/>
    <x v="36"/>
    <d v="2026-01-15T16:10:35"/>
    <d v="2026-01-15T00:00:00"/>
    <d v="2024-12-31T00:00:00"/>
    <n v="3"/>
    <m/>
  </r>
  <r>
    <s v="TRX0082"/>
    <x v="106"/>
    <s v="CUST005"/>
    <s v="James Johnson"/>
    <s v="P005"/>
    <x v="1"/>
    <x v="1"/>
    <x v="0"/>
    <x v="4"/>
    <x v="0"/>
    <x v="0"/>
    <x v="1"/>
    <d v="2023-05-06T00:00:00"/>
    <x v="1"/>
    <d v="2026-01-15T16:10:35"/>
    <d v="2026-01-15T00:00:00"/>
    <d v="2024-12-31T00:00:00"/>
    <n v="1"/>
    <m/>
  </r>
  <r>
    <s v="TRX0036"/>
    <x v="106"/>
    <s v="CUST008"/>
    <s v="Jennifer Taylor"/>
    <s v="P004"/>
    <x v="7"/>
    <x v="1"/>
    <x v="4"/>
    <x v="9"/>
    <x v="3"/>
    <x v="4"/>
    <x v="2"/>
    <d v="2022-12-26T00:00:00"/>
    <x v="40"/>
    <d v="2026-01-15T16:10:35"/>
    <d v="2026-01-15T00:00:00"/>
    <d v="2024-12-31T00:00:00"/>
    <n v="1"/>
    <m/>
  </r>
  <r>
    <s v="TRX0198"/>
    <x v="107"/>
    <s v="CUST030"/>
    <s v="Helen Roberts"/>
    <s v="P004"/>
    <x v="7"/>
    <x v="1"/>
    <x v="0"/>
    <x v="9"/>
    <x v="3"/>
    <x v="4"/>
    <x v="2"/>
    <d v="2022-08-06T00:00:00"/>
    <x v="18"/>
    <d v="2026-01-15T16:10:35"/>
    <d v="2026-01-15T00:00:00"/>
    <d v="2024-12-31T00:00:00"/>
    <n v="2"/>
    <m/>
  </r>
  <r>
    <s v="TRX0032"/>
    <x v="108"/>
    <s v="CUST041"/>
    <s v="Peter Richardson"/>
    <s v="P001"/>
    <x v="4"/>
    <x v="0"/>
    <x v="2"/>
    <x v="5"/>
    <x v="0"/>
    <x v="2"/>
    <x v="0"/>
    <d v="2021-07-29T00:00:00"/>
    <x v="43"/>
    <d v="2026-01-15T16:10:35"/>
    <d v="2026-01-15T00:00:00"/>
    <d v="2024-12-31T00:00:00"/>
    <n v="3"/>
    <m/>
  </r>
  <r>
    <s v="TRX0081"/>
    <x v="109"/>
    <s v="CUST007"/>
    <s v="David Martinez"/>
    <s v="P008"/>
    <x v="2"/>
    <x v="2"/>
    <x v="3"/>
    <x v="3"/>
    <x v="3"/>
    <x v="4"/>
    <x v="2"/>
    <d v="2023-10-01T00:00:00"/>
    <x v="5"/>
    <d v="2026-01-15T16:10:35"/>
    <d v="2026-01-15T00:00:00"/>
    <d v="2024-12-31T00:00:00"/>
    <n v="1"/>
    <m/>
  </r>
  <r>
    <s v="TRX0224"/>
    <x v="109"/>
    <s v="CUST031"/>
    <s v="Steven Turner"/>
    <s v="P007"/>
    <x v="6"/>
    <x v="2"/>
    <x v="2"/>
    <x v="8"/>
    <x v="0"/>
    <x v="4"/>
    <x v="1"/>
    <d v="2022-06-12T00:00:00"/>
    <x v="31"/>
    <d v="2026-01-15T16:10:35"/>
    <d v="2026-01-15T00:00:00"/>
    <d v="2024-12-31T00:00:00"/>
    <n v="2"/>
    <m/>
  </r>
  <r>
    <s v="TRX0028"/>
    <x v="110"/>
    <s v="CUST002"/>
    <s v="Emma Wilson"/>
    <s v="P005"/>
    <x v="1"/>
    <x v="1"/>
    <x v="2"/>
    <x v="4"/>
    <x v="0"/>
    <x v="3"/>
    <x v="0"/>
    <d v="2023-09-22T00:00:00"/>
    <x v="3"/>
    <d v="2026-01-15T16:10:35"/>
    <d v="2026-01-15T00:00:00"/>
    <d v="2024-12-31T00:00:00"/>
    <n v="1"/>
    <m/>
  </r>
  <r>
    <s v="TRX0183"/>
    <x v="111"/>
    <s v="CUST007"/>
    <s v="David Martinez"/>
    <s v="P010"/>
    <x v="8"/>
    <x v="0"/>
    <x v="3"/>
    <x v="10"/>
    <x v="3"/>
    <x v="0"/>
    <x v="2"/>
    <d v="2022-07-18T00:00:00"/>
    <x v="27"/>
    <d v="2026-01-15T16:10:35"/>
    <d v="2026-01-15T00:00:00"/>
    <d v="2024-12-31T00:00:00"/>
    <n v="2"/>
    <m/>
  </r>
  <r>
    <s v="TRX0163"/>
    <x v="111"/>
    <s v="CUST019"/>
    <s v="Daniel King"/>
    <s v="P001"/>
    <x v="4"/>
    <x v="0"/>
    <x v="1"/>
    <x v="5"/>
    <x v="3"/>
    <x v="4"/>
    <x v="2"/>
    <d v="2022-03-05T00:00:00"/>
    <x v="29"/>
    <d v="2026-01-15T16:10:35"/>
    <d v="2026-01-15T00:00:00"/>
    <d v="2024-12-31T00:00:00"/>
    <n v="2"/>
    <m/>
  </r>
  <r>
    <s v="TRX0046"/>
    <x v="112"/>
    <s v="CUST003"/>
    <s v="Michael Brown"/>
    <s v="P008"/>
    <x v="2"/>
    <x v="2"/>
    <x v="2"/>
    <x v="3"/>
    <x v="0"/>
    <x v="1"/>
    <x v="0"/>
    <d v="2023-11-09T00:00:00"/>
    <x v="22"/>
    <d v="2026-01-15T16:10:35"/>
    <d v="2026-01-15T00:00:00"/>
    <d v="2024-12-31T00:00:00"/>
    <n v="1"/>
    <m/>
  </r>
  <r>
    <s v="TRX0164"/>
    <x v="113"/>
    <s v="CUST014"/>
    <s v="Linda Martin"/>
    <s v="P003"/>
    <x v="3"/>
    <x v="0"/>
    <x v="2"/>
    <x v="3"/>
    <x v="3"/>
    <x v="3"/>
    <x v="1"/>
    <d v="2023-12-20T00:00:00"/>
    <x v="22"/>
    <d v="2026-01-15T16:10:35"/>
    <d v="2026-01-15T00:00:00"/>
    <d v="2024-12-31T00:00:00"/>
    <n v="1"/>
    <m/>
  </r>
  <r>
    <s v="TRX0008"/>
    <x v="113"/>
    <s v="CUST007"/>
    <s v="David Martinez"/>
    <s v="P008"/>
    <x v="2"/>
    <x v="2"/>
    <x v="0"/>
    <x v="3"/>
    <x v="3"/>
    <x v="2"/>
    <x v="2"/>
    <d v="2021-11-22T00:00:00"/>
    <x v="6"/>
    <d v="2026-01-15T16:10:35"/>
    <d v="2026-01-15T00:00:00"/>
    <d v="2024-12-31T00:00:00"/>
    <n v="3"/>
    <m/>
  </r>
  <r>
    <s v="TRX0171"/>
    <x v="114"/>
    <s v="CUST021"/>
    <s v="Kevin Scott"/>
    <s v="P007"/>
    <x v="6"/>
    <x v="2"/>
    <x v="2"/>
    <x v="8"/>
    <x v="2"/>
    <x v="1"/>
    <x v="0"/>
    <d v="2022-06-09T00:00:00"/>
    <x v="31"/>
    <d v="2026-01-15T16:10:35"/>
    <d v="2026-01-15T00:00:00"/>
    <d v="2024-12-31T00:00:00"/>
    <n v="2"/>
    <m/>
  </r>
  <r>
    <s v="TRX0143"/>
    <x v="115"/>
    <s v="CUST003"/>
    <s v="Michael Brown"/>
    <s v="P007"/>
    <x v="6"/>
    <x v="2"/>
    <x v="2"/>
    <x v="8"/>
    <x v="0"/>
    <x v="3"/>
    <x v="0"/>
    <d v="2022-07-29T00:00:00"/>
    <x v="31"/>
    <d v="2026-01-15T16:10:35"/>
    <d v="2026-01-15T00:00:00"/>
    <d v="2024-12-31T00:00:00"/>
    <n v="2"/>
    <m/>
  </r>
  <r>
    <s v="TRX0165"/>
    <x v="115"/>
    <s v="CUST030"/>
    <s v="Helen Roberts"/>
    <s v="P006"/>
    <x v="9"/>
    <x v="2"/>
    <x v="4"/>
    <x v="11"/>
    <x v="1"/>
    <x v="0"/>
    <x v="0"/>
    <d v="2021-11-23T00:00:00"/>
    <x v="37"/>
    <d v="2026-01-15T16:10:35"/>
    <d v="2026-01-15T00:00:00"/>
    <d v="2024-12-31T00:00:00"/>
    <n v="3"/>
    <m/>
  </r>
  <r>
    <s v="TRX0156"/>
    <x v="116"/>
    <s v="CUST009"/>
    <s v="Robert Thomas"/>
    <s v="P010"/>
    <x v="8"/>
    <x v="0"/>
    <x v="3"/>
    <x v="10"/>
    <x v="1"/>
    <x v="1"/>
    <x v="1"/>
    <d v="2022-01-30T00:00:00"/>
    <x v="27"/>
    <d v="2026-01-15T16:10:35"/>
    <d v="2026-01-15T00:00:00"/>
    <d v="2024-12-31T00:00:00"/>
    <n v="2"/>
    <m/>
  </r>
  <r>
    <s v="TRX0147"/>
    <x v="116"/>
    <s v="CUST036"/>
    <s v="Nancy Collins"/>
    <s v="P008"/>
    <x v="2"/>
    <x v="2"/>
    <x v="1"/>
    <x v="3"/>
    <x v="0"/>
    <x v="0"/>
    <x v="1"/>
    <d v="2024-02-25T00:00:00"/>
    <x v="2"/>
    <d v="2026-01-15T16:10:35"/>
    <d v="2026-01-15T00:00:00"/>
    <d v="2024-12-31T00:00:00"/>
    <n v="0"/>
    <m/>
  </r>
  <r>
    <s v="TRX0207"/>
    <x v="117"/>
    <s v="CUST025"/>
    <s v="Mark Carter"/>
    <s v="P001"/>
    <x v="4"/>
    <x v="0"/>
    <x v="3"/>
    <x v="5"/>
    <x v="2"/>
    <x v="2"/>
    <x v="1"/>
    <d v="2023-05-04T00:00:00"/>
    <x v="8"/>
    <d v="2026-01-15T16:10:35"/>
    <d v="2026-01-15T00:00:00"/>
    <d v="2024-12-31T00:00:00"/>
    <n v="1"/>
    <m/>
  </r>
  <r>
    <s v="TRX0056"/>
    <x v="118"/>
    <s v="CUST019"/>
    <s v="Daniel King"/>
    <s v="P010"/>
    <x v="8"/>
    <x v="0"/>
    <x v="2"/>
    <x v="10"/>
    <x v="1"/>
    <x v="1"/>
    <x v="1"/>
    <d v="2022-01-03T00:00:00"/>
    <x v="28"/>
    <d v="2026-01-15T16:10:35"/>
    <d v="2026-01-15T00:00:00"/>
    <d v="2025-01-31T00:00:00"/>
    <n v="3"/>
    <m/>
  </r>
  <r>
    <s v="TRX0026"/>
    <x v="119"/>
    <s v="CUST037"/>
    <s v="Arthur Edwards"/>
    <s v="P001"/>
    <x v="4"/>
    <x v="0"/>
    <x v="3"/>
    <x v="5"/>
    <x v="2"/>
    <x v="2"/>
    <x v="2"/>
    <d v="2022-07-10T00:00:00"/>
    <x v="8"/>
    <d v="2026-01-15T16:10:35"/>
    <d v="2026-01-15T00:00:00"/>
    <d v="2025-01-31T00:00:00"/>
    <n v="2"/>
    <m/>
  </r>
  <r>
    <s v="TRX0237"/>
    <x v="120"/>
    <s v="CUST006"/>
    <s v="Lisa Anderson"/>
    <s v="P003"/>
    <x v="3"/>
    <x v="0"/>
    <x v="1"/>
    <x v="3"/>
    <x v="2"/>
    <x v="4"/>
    <x v="1"/>
    <d v="2022-09-20T00:00:00"/>
    <x v="2"/>
    <d v="2026-01-15T16:10:35"/>
    <d v="2026-01-15T00:00:00"/>
    <d v="2025-01-31T00:00:00"/>
    <n v="2"/>
    <m/>
  </r>
  <r>
    <s v="TRX0091"/>
    <x v="120"/>
    <s v="CUST003"/>
    <s v="Michael Brown"/>
    <s v="P007"/>
    <x v="6"/>
    <x v="2"/>
    <x v="0"/>
    <x v="8"/>
    <x v="0"/>
    <x v="1"/>
    <x v="2"/>
    <d v="2021-08-14T00:00:00"/>
    <x v="23"/>
    <d v="2026-01-15T16:10:35"/>
    <d v="2026-01-15T00:00:00"/>
    <d v="2025-01-31T00:00:00"/>
    <n v="3"/>
    <m/>
  </r>
  <r>
    <s v="TRX0125"/>
    <x v="121"/>
    <s v="CUST026"/>
    <s v="Karen Hill"/>
    <s v="P002"/>
    <x v="5"/>
    <x v="0"/>
    <x v="0"/>
    <x v="6"/>
    <x v="1"/>
    <x v="0"/>
    <x v="1"/>
    <d v="2023-06-28T00:00:00"/>
    <x v="7"/>
    <d v="2026-01-15T16:10:35"/>
    <d v="2026-01-15T00:00:00"/>
    <d v="2025-01-31T00:00:00"/>
    <n v="1"/>
    <m/>
  </r>
  <r>
    <s v="TRX0223"/>
    <x v="122"/>
    <s v="CUST036"/>
    <s v="Nancy Collins"/>
    <s v="P006"/>
    <x v="9"/>
    <x v="2"/>
    <x v="1"/>
    <x v="11"/>
    <x v="2"/>
    <x v="0"/>
    <x v="2"/>
    <d v="2022-03-13T00:00:00"/>
    <x v="21"/>
    <d v="2026-01-15T16:10:35"/>
    <d v="2026-01-15T00:00:00"/>
    <d v="2025-01-31T00:00:00"/>
    <n v="2"/>
    <m/>
  </r>
  <r>
    <s v="TRX0243"/>
    <x v="122"/>
    <s v="CUST048"/>
    <s v="Virginia Sanders"/>
    <s v="P009"/>
    <x v="0"/>
    <x v="0"/>
    <x v="1"/>
    <x v="7"/>
    <x v="1"/>
    <x v="1"/>
    <x v="0"/>
    <d v="2024-02-08T00:00:00"/>
    <x v="16"/>
    <d v="2026-01-15T16:10:35"/>
    <d v="2026-01-15T00:00:00"/>
    <d v="2025-01-31T00:00:00"/>
    <n v="0"/>
    <m/>
  </r>
  <r>
    <s v="TRX0084"/>
    <x v="123"/>
    <s v="CUST031"/>
    <s v="Steven Turner"/>
    <s v="P003"/>
    <x v="3"/>
    <x v="0"/>
    <x v="4"/>
    <x v="3"/>
    <x v="3"/>
    <x v="4"/>
    <x v="2"/>
    <d v="2021-12-06T00:00:00"/>
    <x v="9"/>
    <d v="2026-01-15T16:10:35"/>
    <d v="2026-01-15T00:00:00"/>
    <d v="2025-01-31T00:00:00"/>
    <n v="3"/>
    <m/>
  </r>
  <r>
    <s v="TRX0238"/>
    <x v="123"/>
    <s v="CUST038"/>
    <s v="Michelle Rogers"/>
    <s v="P002"/>
    <x v="5"/>
    <x v="0"/>
    <x v="0"/>
    <x v="6"/>
    <x v="0"/>
    <x v="2"/>
    <x v="1"/>
    <d v="2022-02-10T00:00:00"/>
    <x v="7"/>
    <d v="2026-01-15T16:10:35"/>
    <d v="2026-01-15T00:00:00"/>
    <d v="2025-01-31T00:00:00"/>
    <n v="2"/>
    <m/>
  </r>
  <r>
    <s v="TRX0102"/>
    <x v="124"/>
    <s v="CUST045"/>
    <s v="Douglas Watson"/>
    <s v="P004"/>
    <x v="7"/>
    <x v="1"/>
    <x v="3"/>
    <x v="9"/>
    <x v="1"/>
    <x v="1"/>
    <x v="0"/>
    <d v="2024-01-31T00:00:00"/>
    <x v="26"/>
    <d v="2026-01-15T16:10:35"/>
    <d v="2026-01-15T00:00:00"/>
    <d v="2025-01-31T00:00:00"/>
    <n v="0"/>
    <m/>
  </r>
  <r>
    <s v="TRX0022"/>
    <x v="124"/>
    <s v="CUST025"/>
    <s v="Mark Carter"/>
    <s v="P007"/>
    <x v="6"/>
    <x v="2"/>
    <x v="3"/>
    <x v="8"/>
    <x v="1"/>
    <x v="2"/>
    <x v="0"/>
    <d v="2021-08-28T00:00:00"/>
    <x v="34"/>
    <d v="2026-01-15T16:10:35"/>
    <d v="2026-01-15T00:00:00"/>
    <d v="2025-01-31T00:00:00"/>
    <n v="3"/>
    <m/>
  </r>
  <r>
    <s v="TRX0087"/>
    <x v="125"/>
    <s v="CUST028"/>
    <s v="Betty Campbell"/>
    <s v="P009"/>
    <x v="0"/>
    <x v="0"/>
    <x v="4"/>
    <x v="7"/>
    <x v="1"/>
    <x v="2"/>
    <x v="1"/>
    <d v="2021-09-21T00:00:00"/>
    <x v="14"/>
    <d v="2026-01-15T16:10:35"/>
    <d v="2026-01-15T00:00:00"/>
    <d v="2025-01-31T00:00:00"/>
    <n v="3"/>
    <m/>
  </r>
  <r>
    <s v="TRX0107"/>
    <x v="125"/>
    <s v="CUST030"/>
    <s v="Helen Roberts"/>
    <s v="P003"/>
    <x v="3"/>
    <x v="0"/>
    <x v="2"/>
    <x v="3"/>
    <x v="0"/>
    <x v="2"/>
    <x v="2"/>
    <d v="2022-12-18T00:00:00"/>
    <x v="22"/>
    <d v="2026-01-15T16:10:35"/>
    <d v="2026-01-15T00:00:00"/>
    <d v="2025-01-31T00:00:00"/>
    <n v="2"/>
    <m/>
  </r>
  <r>
    <s v="TRX0051"/>
    <x v="125"/>
    <s v="CUST032"/>
    <s v="Sandra Phillips"/>
    <s v="P007"/>
    <x v="6"/>
    <x v="2"/>
    <x v="0"/>
    <x v="8"/>
    <x v="1"/>
    <x v="1"/>
    <x v="0"/>
    <d v="2023-10-05T00:00:00"/>
    <x v="23"/>
    <d v="2026-01-15T16:10:35"/>
    <d v="2026-01-15T00:00:00"/>
    <d v="2025-01-31T00:00:00"/>
    <n v="1"/>
    <m/>
  </r>
  <r>
    <s v="TRX0106"/>
    <x v="126"/>
    <s v="CUST039"/>
    <s v="Lawrence Reed"/>
    <s v="P006"/>
    <x v="9"/>
    <x v="2"/>
    <x v="4"/>
    <x v="11"/>
    <x v="3"/>
    <x v="1"/>
    <x v="2"/>
    <d v="2021-12-14T00:00:00"/>
    <x v="37"/>
    <d v="2026-01-15T16:10:35"/>
    <d v="2026-01-15T00:00:00"/>
    <d v="2025-01-31T00:00:00"/>
    <n v="3"/>
    <m/>
  </r>
  <r>
    <s v="TRX0059"/>
    <x v="126"/>
    <s v="CUST016"/>
    <s v="Elizabeth Hall"/>
    <s v="P007"/>
    <x v="6"/>
    <x v="2"/>
    <x v="1"/>
    <x v="8"/>
    <x v="3"/>
    <x v="0"/>
    <x v="0"/>
    <d v="2021-08-23T00:00:00"/>
    <x v="17"/>
    <d v="2026-01-15T16:10:35"/>
    <d v="2026-01-15T00:00:00"/>
    <d v="2025-01-31T00:00:00"/>
    <n v="3"/>
    <m/>
  </r>
  <r>
    <s v="TRX0072"/>
    <x v="126"/>
    <s v="CUST009"/>
    <s v="Robert Thomas"/>
    <s v="P008"/>
    <x v="2"/>
    <x v="2"/>
    <x v="0"/>
    <x v="3"/>
    <x v="1"/>
    <x v="4"/>
    <x v="2"/>
    <d v="2021-07-18T00:00:00"/>
    <x v="6"/>
    <d v="2026-01-15T16:10:35"/>
    <d v="2026-01-15T00:00:00"/>
    <d v="2025-01-31T00:00:00"/>
    <n v="3"/>
    <m/>
  </r>
  <r>
    <s v="TRX0110"/>
    <x v="127"/>
    <s v="CUST006"/>
    <s v="Lisa Anderson"/>
    <s v="P005"/>
    <x v="1"/>
    <x v="1"/>
    <x v="1"/>
    <x v="4"/>
    <x v="3"/>
    <x v="4"/>
    <x v="0"/>
    <d v="2022-03-22T00:00:00"/>
    <x v="42"/>
    <d v="2026-01-15T16:10:35"/>
    <d v="2026-01-15T00:00:00"/>
    <d v="2025-01-31T00:00:00"/>
    <n v="2"/>
    <m/>
  </r>
  <r>
    <s v="TRX0126"/>
    <x v="128"/>
    <s v="CUST022"/>
    <s v="Susan Green"/>
    <s v="P005"/>
    <x v="1"/>
    <x v="1"/>
    <x v="4"/>
    <x v="4"/>
    <x v="3"/>
    <x v="4"/>
    <x v="2"/>
    <d v="2022-01-03T00:00:00"/>
    <x v="20"/>
    <d v="2026-01-15T16:10:35"/>
    <d v="2026-01-15T00:00:00"/>
    <d v="2025-01-31T00:00:00"/>
    <n v="3"/>
    <m/>
  </r>
  <r>
    <s v="TRX0159"/>
    <x v="129"/>
    <s v="CUST024"/>
    <s v="Dorothy Nelson"/>
    <s v="P009"/>
    <x v="0"/>
    <x v="0"/>
    <x v="4"/>
    <x v="7"/>
    <x v="3"/>
    <x v="0"/>
    <x v="1"/>
    <d v="2023-10-18T00:00:00"/>
    <x v="14"/>
    <d v="2026-01-15T16:10:35"/>
    <d v="2026-01-15T00:00:00"/>
    <d v="2025-01-31T00:00:00"/>
    <n v="1"/>
    <m/>
  </r>
  <r>
    <s v="TRX0030"/>
    <x v="130"/>
    <s v="CUST011"/>
    <s v="William White"/>
    <s v="P001"/>
    <x v="4"/>
    <x v="0"/>
    <x v="4"/>
    <x v="5"/>
    <x v="2"/>
    <x v="0"/>
    <x v="0"/>
    <d v="2022-06-22T00:00:00"/>
    <x v="11"/>
    <d v="2026-01-15T16:10:35"/>
    <d v="2026-01-15T00:00:00"/>
    <d v="2025-01-31T00:00:00"/>
    <n v="2"/>
    <m/>
  </r>
  <r>
    <s v="TRX0178"/>
    <x v="130"/>
    <s v="CUST025"/>
    <s v="Mark Carter"/>
    <s v="P007"/>
    <x v="6"/>
    <x v="2"/>
    <x v="0"/>
    <x v="8"/>
    <x v="3"/>
    <x v="3"/>
    <x v="2"/>
    <d v="2023-01-26T00:00:00"/>
    <x v="23"/>
    <d v="2026-01-15T16:10:35"/>
    <d v="2026-01-15T00:00:00"/>
    <d v="2025-01-31T00:00:00"/>
    <n v="2"/>
    <m/>
  </r>
  <r>
    <s v="TRX0188"/>
    <x v="130"/>
    <s v="CUST045"/>
    <s v="Douglas Watson"/>
    <s v="P002"/>
    <x v="5"/>
    <x v="0"/>
    <x v="2"/>
    <x v="6"/>
    <x v="3"/>
    <x v="0"/>
    <x v="1"/>
    <d v="2022-04-30T00:00:00"/>
    <x v="10"/>
    <d v="2026-01-15T16:10:35"/>
    <d v="2026-01-15T00:00:00"/>
    <d v="2025-01-31T00:00:00"/>
    <n v="2"/>
    <m/>
  </r>
  <r>
    <s v="TRX0010"/>
    <x v="131"/>
    <s v="CUST026"/>
    <s v="Karen Hill"/>
    <s v="P002"/>
    <x v="5"/>
    <x v="0"/>
    <x v="4"/>
    <x v="6"/>
    <x v="3"/>
    <x v="3"/>
    <x v="1"/>
    <d v="2022-05-11T00:00:00"/>
    <x v="13"/>
    <d v="2026-01-15T16:10:35"/>
    <d v="2026-01-15T00:00:00"/>
    <d v="2025-01-31T00:00:00"/>
    <n v="2"/>
    <m/>
  </r>
  <r>
    <s v="TRX0069"/>
    <x v="131"/>
    <s v="CUST029"/>
    <s v="Edward Mitchell"/>
    <s v="P010"/>
    <x v="8"/>
    <x v="0"/>
    <x v="2"/>
    <x v="10"/>
    <x v="3"/>
    <x v="1"/>
    <x v="0"/>
    <d v="2022-08-04T00:00:00"/>
    <x v="28"/>
    <d v="2026-01-15T16:10:35"/>
    <d v="2026-01-15T00:00:00"/>
    <d v="2025-01-31T00:00:00"/>
    <n v="2"/>
    <m/>
  </r>
  <r>
    <s v="TRX0166"/>
    <x v="131"/>
    <s v="CUST003"/>
    <s v="Michael Brown"/>
    <s v="P010"/>
    <x v="8"/>
    <x v="0"/>
    <x v="0"/>
    <x v="10"/>
    <x v="3"/>
    <x v="1"/>
    <x v="1"/>
    <d v="2024-01-16T00:00:00"/>
    <x v="25"/>
    <d v="2026-01-15T16:10:35"/>
    <d v="2026-01-15T00:00:00"/>
    <d v="2025-01-31T00:00:00"/>
    <n v="1"/>
    <m/>
  </r>
  <r>
    <s v="TRX0219"/>
    <x v="132"/>
    <s v="CUST037"/>
    <s v="Arthur Edwards"/>
    <s v="P005"/>
    <x v="1"/>
    <x v="1"/>
    <x v="3"/>
    <x v="4"/>
    <x v="3"/>
    <x v="0"/>
    <x v="2"/>
    <d v="2023-04-29T00:00:00"/>
    <x v="30"/>
    <d v="2026-01-15T16:10:35"/>
    <d v="2026-01-15T00:00:00"/>
    <d v="2025-02-28T00:00:00"/>
    <n v="1"/>
    <m/>
  </r>
  <r>
    <s v="TRX0024"/>
    <x v="133"/>
    <s v="CUST042"/>
    <s v="Ruth Brooks"/>
    <s v="P008"/>
    <x v="2"/>
    <x v="2"/>
    <x v="0"/>
    <x v="3"/>
    <x v="3"/>
    <x v="2"/>
    <x v="1"/>
    <d v="2022-01-03T00:00:00"/>
    <x v="6"/>
    <d v="2026-01-15T16:10:35"/>
    <d v="2026-01-15T00:00:00"/>
    <d v="2025-02-28T00:00:00"/>
    <n v="3"/>
    <m/>
  </r>
  <r>
    <s v="TRX0105"/>
    <x v="133"/>
    <s v="CUST048"/>
    <s v="Virginia Sanders"/>
    <s v="P007"/>
    <x v="6"/>
    <x v="2"/>
    <x v="1"/>
    <x v="8"/>
    <x v="1"/>
    <x v="1"/>
    <x v="0"/>
    <d v="2023-02-02T00:00:00"/>
    <x v="17"/>
    <d v="2026-01-15T16:10:35"/>
    <d v="2026-01-15T00:00:00"/>
    <d v="2025-02-28T00:00:00"/>
    <n v="2"/>
    <m/>
  </r>
  <r>
    <s v="TRX0011"/>
    <x v="134"/>
    <s v="CUST040"/>
    <s v="Sharon Butler"/>
    <s v="P005"/>
    <x v="1"/>
    <x v="1"/>
    <x v="1"/>
    <x v="4"/>
    <x v="3"/>
    <x v="0"/>
    <x v="2"/>
    <d v="2023-09-08T00:00:00"/>
    <x v="42"/>
    <d v="2026-01-15T16:10:35"/>
    <d v="2026-01-15T00:00:00"/>
    <d v="2025-02-28T00:00:00"/>
    <n v="1"/>
    <m/>
  </r>
  <r>
    <s v="TRX0187"/>
    <x v="135"/>
    <s v="CUST036"/>
    <s v="Nancy Collins"/>
    <s v="P004"/>
    <x v="7"/>
    <x v="1"/>
    <x v="0"/>
    <x v="9"/>
    <x v="0"/>
    <x v="4"/>
    <x v="1"/>
    <d v="2021-08-28T00:00:00"/>
    <x v="18"/>
    <d v="2026-01-15T16:10:35"/>
    <d v="2026-01-15T00:00:00"/>
    <d v="2025-02-28T00:00:00"/>
    <n v="3"/>
    <m/>
  </r>
  <r>
    <s v="TRX0089"/>
    <x v="136"/>
    <s v="CUST021"/>
    <s v="Kevin Scott"/>
    <s v="P006"/>
    <x v="9"/>
    <x v="2"/>
    <x v="0"/>
    <x v="11"/>
    <x v="0"/>
    <x v="0"/>
    <x v="0"/>
    <d v="2022-06-23T00:00:00"/>
    <x v="24"/>
    <d v="2026-01-15T16:10:35"/>
    <d v="2026-01-15T00:00:00"/>
    <d v="2025-02-28T00:00:00"/>
    <n v="2"/>
    <m/>
  </r>
  <r>
    <s v="TRX0196"/>
    <x v="136"/>
    <s v="CUST023"/>
    <s v="Paul Baker"/>
    <s v="P010"/>
    <x v="8"/>
    <x v="0"/>
    <x v="2"/>
    <x v="10"/>
    <x v="2"/>
    <x v="0"/>
    <x v="0"/>
    <d v="2023-11-27T00:00:00"/>
    <x v="28"/>
    <d v="2026-01-15T16:10:35"/>
    <d v="2026-01-15T00:00:00"/>
    <d v="2025-02-28T00:00:00"/>
    <n v="1"/>
    <m/>
  </r>
  <r>
    <s v="TRX0118"/>
    <x v="137"/>
    <s v="CUST015"/>
    <s v="Richard Lee"/>
    <s v="P008"/>
    <x v="2"/>
    <x v="2"/>
    <x v="2"/>
    <x v="3"/>
    <x v="0"/>
    <x v="1"/>
    <x v="1"/>
    <d v="2022-06-16T00:00:00"/>
    <x v="22"/>
    <d v="2026-01-15T16:10:35"/>
    <d v="2026-01-15T00:00:00"/>
    <d v="2025-02-28T00:00:00"/>
    <n v="2"/>
    <m/>
  </r>
  <r>
    <s v="TRX0179"/>
    <x v="138"/>
    <s v="CUST029"/>
    <s v="Edward Mitchell"/>
    <s v="P002"/>
    <x v="5"/>
    <x v="0"/>
    <x v="1"/>
    <x v="6"/>
    <x v="2"/>
    <x v="1"/>
    <x v="1"/>
    <d v="2024-03-01T00:00:00"/>
    <x v="12"/>
    <d v="2026-01-15T16:10:35"/>
    <d v="2026-01-15T00:00:00"/>
    <d v="2025-02-28T00:00:00"/>
    <n v="0"/>
    <m/>
  </r>
  <r>
    <s v="TRX0168"/>
    <x v="138"/>
    <s v="CUST003"/>
    <s v="Michael Brown"/>
    <s v="P008"/>
    <x v="2"/>
    <x v="2"/>
    <x v="0"/>
    <x v="3"/>
    <x v="2"/>
    <x v="0"/>
    <x v="2"/>
    <d v="2022-03-13T00:00:00"/>
    <x v="6"/>
    <d v="2026-01-15T16:10:35"/>
    <d v="2026-01-15T00:00:00"/>
    <d v="2025-02-28T00:00:00"/>
    <n v="2"/>
    <m/>
  </r>
  <r>
    <s v="TRX0214"/>
    <x v="139"/>
    <s v="CUST018"/>
    <s v="Barbara Young"/>
    <s v="P001"/>
    <x v="4"/>
    <x v="0"/>
    <x v="0"/>
    <x v="5"/>
    <x v="0"/>
    <x v="4"/>
    <x v="2"/>
    <d v="2022-02-21T00:00:00"/>
    <x v="4"/>
    <d v="2026-01-15T16:10:35"/>
    <d v="2026-01-15T00:00:00"/>
    <d v="2025-02-28T00:00:00"/>
    <n v="2"/>
    <m/>
  </r>
  <r>
    <s v="TRX0221"/>
    <x v="139"/>
    <s v="CUST033"/>
    <s v="Frank Torres"/>
    <s v="P006"/>
    <x v="9"/>
    <x v="2"/>
    <x v="0"/>
    <x v="11"/>
    <x v="0"/>
    <x v="3"/>
    <x v="1"/>
    <d v="2022-09-19T00:00:00"/>
    <x v="24"/>
    <d v="2026-01-15T16:10:35"/>
    <d v="2026-01-15T00:00:00"/>
    <d v="2025-02-28T00:00:00"/>
    <n v="2"/>
    <m/>
  </r>
  <r>
    <s v="TRX0083"/>
    <x v="140"/>
    <s v="CUST017"/>
    <s v="Charles Allen"/>
    <s v="P007"/>
    <x v="6"/>
    <x v="2"/>
    <x v="1"/>
    <x v="8"/>
    <x v="0"/>
    <x v="3"/>
    <x v="2"/>
    <d v="2023-08-04T00:00:00"/>
    <x v="17"/>
    <d v="2026-01-15T16:10:35"/>
    <d v="2026-01-15T00:00:00"/>
    <d v="2025-02-28T00:00:00"/>
    <n v="1"/>
    <m/>
  </r>
  <r>
    <s v="TRX0151"/>
    <x v="140"/>
    <s v="CUST040"/>
    <s v="Sharon Butler"/>
    <s v="P002"/>
    <x v="5"/>
    <x v="0"/>
    <x v="3"/>
    <x v="6"/>
    <x v="2"/>
    <x v="3"/>
    <x v="0"/>
    <d v="2023-01-08T00:00:00"/>
    <x v="38"/>
    <d v="2026-01-15T16:10:35"/>
    <d v="2026-01-15T00:00:00"/>
    <d v="2025-02-28T00:00:00"/>
    <n v="2"/>
    <m/>
  </r>
  <r>
    <s v="TRX0047"/>
    <x v="141"/>
    <s v="CUST042"/>
    <s v="Ruth Brooks"/>
    <s v="P002"/>
    <x v="5"/>
    <x v="0"/>
    <x v="3"/>
    <x v="6"/>
    <x v="0"/>
    <x v="2"/>
    <x v="1"/>
    <d v="2022-01-22T00:00:00"/>
    <x v="38"/>
    <d v="2026-01-15T16:10:35"/>
    <d v="2026-01-15T00:00:00"/>
    <d v="2025-02-28T00:00:00"/>
    <n v="3"/>
    <m/>
  </r>
  <r>
    <s v="TRX0200"/>
    <x v="141"/>
    <s v="CUST037"/>
    <s v="Arthur Edwards"/>
    <s v="P008"/>
    <x v="2"/>
    <x v="2"/>
    <x v="4"/>
    <x v="3"/>
    <x v="2"/>
    <x v="2"/>
    <x v="1"/>
    <d v="2021-08-04T00:00:00"/>
    <x v="9"/>
    <d v="2026-01-15T16:10:35"/>
    <d v="2026-01-15T00:00:00"/>
    <d v="2025-02-28T00:00:00"/>
    <n v="3"/>
    <m/>
  </r>
  <r>
    <s v="TRX0062"/>
    <x v="141"/>
    <s v="CUST016"/>
    <s v="Elizabeth Hall"/>
    <s v="P010"/>
    <x v="8"/>
    <x v="0"/>
    <x v="1"/>
    <x v="10"/>
    <x v="2"/>
    <x v="3"/>
    <x v="1"/>
    <d v="2023-08-02T00:00:00"/>
    <x v="19"/>
    <d v="2026-01-15T16:10:35"/>
    <d v="2026-01-15T00:00:00"/>
    <d v="2025-02-28T00:00:00"/>
    <n v="1"/>
    <m/>
  </r>
  <r>
    <s v="TRX0182"/>
    <x v="142"/>
    <s v="CUST031"/>
    <s v="Steven Turner"/>
    <s v="P006"/>
    <x v="9"/>
    <x v="2"/>
    <x v="2"/>
    <x v="11"/>
    <x v="0"/>
    <x v="0"/>
    <x v="1"/>
    <d v="2022-01-12T00:00:00"/>
    <x v="35"/>
    <d v="2026-01-15T16:10:35"/>
    <d v="2026-01-15T00:00:00"/>
    <d v="2025-02-28T00:00:00"/>
    <n v="3"/>
    <m/>
  </r>
  <r>
    <s v="TRX0229"/>
    <x v="143"/>
    <s v="CUST015"/>
    <s v="Richard Lee"/>
    <s v="P005"/>
    <x v="1"/>
    <x v="1"/>
    <x v="4"/>
    <x v="4"/>
    <x v="0"/>
    <x v="3"/>
    <x v="2"/>
    <d v="2023-05-24T00:00:00"/>
    <x v="20"/>
    <d v="2026-01-15T16:10:35"/>
    <d v="2026-01-15T00:00:00"/>
    <d v="2025-02-28T00:00:00"/>
    <n v="1"/>
    <m/>
  </r>
  <r>
    <s v="TRX0048"/>
    <x v="143"/>
    <s v="CUST048"/>
    <s v="Virginia Sanders"/>
    <s v="P007"/>
    <x v="6"/>
    <x v="2"/>
    <x v="2"/>
    <x v="8"/>
    <x v="2"/>
    <x v="1"/>
    <x v="0"/>
    <d v="2022-01-15T00:00:00"/>
    <x v="31"/>
    <d v="2026-01-15T16:10:35"/>
    <d v="2026-01-15T00:00:00"/>
    <d v="2025-02-28T00:00:00"/>
    <n v="3"/>
    <m/>
  </r>
  <r>
    <s v="TRX0227"/>
    <x v="144"/>
    <s v="CUST017"/>
    <s v="Charles Allen"/>
    <s v="P008"/>
    <x v="2"/>
    <x v="2"/>
    <x v="2"/>
    <x v="3"/>
    <x v="0"/>
    <x v="0"/>
    <x v="0"/>
    <d v="2023-05-22T00:00:00"/>
    <x v="22"/>
    <d v="2026-01-15T16:10:35"/>
    <d v="2026-01-15T00:00:00"/>
    <d v="2025-03-31T00:00:00"/>
    <n v="1"/>
    <m/>
  </r>
  <r>
    <s v="TRX0226"/>
    <x v="145"/>
    <s v="CUST039"/>
    <s v="Lawrence Reed"/>
    <s v="P002"/>
    <x v="5"/>
    <x v="0"/>
    <x v="1"/>
    <x v="6"/>
    <x v="3"/>
    <x v="4"/>
    <x v="1"/>
    <d v="2023-08-23T00:00:00"/>
    <x v="12"/>
    <d v="2026-01-15T16:10:35"/>
    <d v="2026-01-15T00:00:00"/>
    <d v="2025-03-31T00:00:00"/>
    <n v="1"/>
    <m/>
  </r>
  <r>
    <s v="TRX0053"/>
    <x v="146"/>
    <s v="CUST043"/>
    <s v="Dennis Gray"/>
    <s v="P005"/>
    <x v="1"/>
    <x v="1"/>
    <x v="1"/>
    <x v="4"/>
    <x v="0"/>
    <x v="3"/>
    <x v="1"/>
    <d v="2023-12-31T00:00:00"/>
    <x v="42"/>
    <d v="2026-01-15T16:10:35"/>
    <d v="2026-01-15T00:00:00"/>
    <d v="2025-03-31T00:00:00"/>
    <n v="1"/>
    <m/>
  </r>
  <r>
    <s v="TRX0233"/>
    <x v="147"/>
    <s v="CUST023"/>
    <s v="Paul Baker"/>
    <s v="P010"/>
    <x v="8"/>
    <x v="0"/>
    <x v="2"/>
    <x v="10"/>
    <x v="1"/>
    <x v="3"/>
    <x v="1"/>
    <d v="2024-01-04T00:00:00"/>
    <x v="28"/>
    <d v="2026-01-15T16:10:35"/>
    <d v="2026-01-15T00:00:00"/>
    <d v="2025-03-31T00:00:00"/>
    <n v="1"/>
    <m/>
  </r>
  <r>
    <s v="TRX0175"/>
    <x v="147"/>
    <s v="CUST030"/>
    <s v="Helen Roberts"/>
    <s v="P009"/>
    <x v="0"/>
    <x v="0"/>
    <x v="1"/>
    <x v="7"/>
    <x v="0"/>
    <x v="4"/>
    <x v="2"/>
    <d v="2021-12-10T00:00:00"/>
    <x v="16"/>
    <d v="2026-01-15T16:10:35"/>
    <d v="2026-01-15T00:00:00"/>
    <d v="2025-03-31T00:00:00"/>
    <n v="3"/>
    <m/>
  </r>
  <r>
    <s v="TRX0186"/>
    <x v="148"/>
    <s v="CUST039"/>
    <s v="Lawrence Reed"/>
    <s v="P008"/>
    <x v="2"/>
    <x v="2"/>
    <x v="2"/>
    <x v="3"/>
    <x v="2"/>
    <x v="0"/>
    <x v="1"/>
    <d v="2022-03-12T00:00:00"/>
    <x v="22"/>
    <d v="2026-01-15T16:10:35"/>
    <d v="2026-01-15T00:00:00"/>
    <d v="2025-03-31T00:00:00"/>
    <n v="2"/>
    <m/>
  </r>
  <r>
    <s v="TRX0016"/>
    <x v="148"/>
    <s v="CUST035"/>
    <s v="Harry Morgan"/>
    <s v="P001"/>
    <x v="4"/>
    <x v="0"/>
    <x v="1"/>
    <x v="5"/>
    <x v="2"/>
    <x v="4"/>
    <x v="1"/>
    <d v="2024-04-07T00:00:00"/>
    <x v="29"/>
    <d v="2026-01-15T16:10:35"/>
    <d v="2026-01-15T00:00:00"/>
    <d v="2025-03-31T00:00:00"/>
    <n v="0"/>
    <m/>
  </r>
  <r>
    <s v="TRX0199"/>
    <x v="148"/>
    <s v="CUST017"/>
    <s v="Charles Allen"/>
    <s v="P008"/>
    <x v="2"/>
    <x v="2"/>
    <x v="4"/>
    <x v="3"/>
    <x v="0"/>
    <x v="0"/>
    <x v="2"/>
    <d v="2023-12-03T00:00:00"/>
    <x v="9"/>
    <d v="2026-01-15T16:10:35"/>
    <d v="2026-01-15T00:00:00"/>
    <d v="2025-03-31T00:00:00"/>
    <n v="1"/>
    <m/>
  </r>
  <r>
    <s v="TRX0038"/>
    <x v="149"/>
    <s v="CUST035"/>
    <s v="Harry Morgan"/>
    <s v="P009"/>
    <x v="0"/>
    <x v="0"/>
    <x v="3"/>
    <x v="7"/>
    <x v="0"/>
    <x v="2"/>
    <x v="2"/>
    <d v="2023-07-10T00:00:00"/>
    <x v="39"/>
    <d v="2026-01-15T16:10:35"/>
    <d v="2026-01-15T00:00:00"/>
    <d v="2025-03-31T00:00:00"/>
    <n v="1"/>
    <m/>
  </r>
  <r>
    <s v="TRX0014"/>
    <x v="150"/>
    <s v="CUST033"/>
    <s v="Frank Torres"/>
    <s v="P005"/>
    <x v="1"/>
    <x v="1"/>
    <x v="2"/>
    <x v="4"/>
    <x v="1"/>
    <x v="3"/>
    <x v="0"/>
    <d v="2023-09-24T00:00:00"/>
    <x v="3"/>
    <d v="2026-01-15T16:10:35"/>
    <d v="2026-01-15T00:00:00"/>
    <d v="2025-03-31T00:00:00"/>
    <n v="1"/>
    <m/>
  </r>
  <r>
    <s v="TRX0003"/>
    <x v="151"/>
    <s v="CUST002"/>
    <s v="Emma Wilson"/>
    <s v="P008"/>
    <x v="2"/>
    <x v="2"/>
    <x v="2"/>
    <x v="3"/>
    <x v="0"/>
    <x v="3"/>
    <x v="1"/>
    <d v="2023-11-03T00:00:00"/>
    <x v="22"/>
    <d v="2026-01-15T16:10:35"/>
    <d v="2026-01-15T00:00:00"/>
    <d v="2025-03-31T00:00:00"/>
    <n v="1"/>
    <m/>
  </r>
  <r>
    <s v="TRX0124"/>
    <x v="151"/>
    <s v="CUST040"/>
    <s v="Sharon Butler"/>
    <s v="P001"/>
    <x v="4"/>
    <x v="0"/>
    <x v="0"/>
    <x v="5"/>
    <x v="3"/>
    <x v="2"/>
    <x v="1"/>
    <d v="2022-11-11T00:00:00"/>
    <x v="4"/>
    <d v="2026-01-15T16:10:35"/>
    <d v="2026-01-15T00:00:00"/>
    <d v="2025-03-31T00:00:00"/>
    <n v="2"/>
    <m/>
  </r>
  <r>
    <s v="TRX0013"/>
    <x v="151"/>
    <s v="CUST024"/>
    <s v="Dorothy Nelson"/>
    <s v="P001"/>
    <x v="4"/>
    <x v="0"/>
    <x v="0"/>
    <x v="5"/>
    <x v="2"/>
    <x v="2"/>
    <x v="0"/>
    <d v="2023-02-18T00:00:00"/>
    <x v="4"/>
    <d v="2026-01-15T16:10:35"/>
    <d v="2026-01-15T00:00:00"/>
    <d v="2025-03-31T00:00:00"/>
    <n v="2"/>
    <m/>
  </r>
  <r>
    <s v="TRX0019"/>
    <x v="152"/>
    <s v="CUST023"/>
    <s v="Paul Baker"/>
    <s v="P007"/>
    <x v="6"/>
    <x v="2"/>
    <x v="0"/>
    <x v="8"/>
    <x v="1"/>
    <x v="3"/>
    <x v="1"/>
    <d v="2023-11-04T00:00:00"/>
    <x v="23"/>
    <d v="2026-01-15T16:10:35"/>
    <d v="2026-01-15T00:00:00"/>
    <d v="2025-03-31T00:00:00"/>
    <n v="1"/>
    <m/>
  </r>
  <r>
    <s v="TRX0050"/>
    <x v="153"/>
    <s v="CUST001"/>
    <s v="John Smith"/>
    <s v="P008"/>
    <x v="2"/>
    <x v="2"/>
    <x v="4"/>
    <x v="3"/>
    <x v="2"/>
    <x v="3"/>
    <x v="2"/>
    <d v="2021-12-30T00:00:00"/>
    <x v="9"/>
    <d v="2026-01-15T16:10:35"/>
    <d v="2026-01-15T00:00:00"/>
    <d v="2025-03-31T00:00:00"/>
    <n v="3"/>
    <m/>
  </r>
  <r>
    <s v="TRX0152"/>
    <x v="154"/>
    <s v="CUST044"/>
    <s v="Cynthia Price"/>
    <s v="P004"/>
    <x v="7"/>
    <x v="1"/>
    <x v="4"/>
    <x v="9"/>
    <x v="1"/>
    <x v="0"/>
    <x v="0"/>
    <d v="2023-12-28T00:00:00"/>
    <x v="40"/>
    <d v="2026-01-15T16:10:35"/>
    <d v="2026-01-15T00:00:00"/>
    <d v="2025-03-31T00:00:00"/>
    <n v="1"/>
    <m/>
  </r>
  <r>
    <s v="TRX0213"/>
    <x v="155"/>
    <s v="CUST020"/>
    <s v="Margaret Wright"/>
    <s v="P010"/>
    <x v="8"/>
    <x v="0"/>
    <x v="1"/>
    <x v="10"/>
    <x v="2"/>
    <x v="1"/>
    <x v="0"/>
    <d v="2022-05-23T00:00:00"/>
    <x v="19"/>
    <d v="2026-01-15T16:10:35"/>
    <d v="2026-01-15T00:00:00"/>
    <d v="2025-03-31T00:00:00"/>
    <n v="2"/>
    <m/>
  </r>
  <r>
    <s v="TRX0197"/>
    <x v="156"/>
    <s v="CUST048"/>
    <s v="Virginia Sanders"/>
    <s v="P008"/>
    <x v="2"/>
    <x v="2"/>
    <x v="0"/>
    <x v="3"/>
    <x v="2"/>
    <x v="0"/>
    <x v="2"/>
    <d v="2023-09-02T00:00:00"/>
    <x v="6"/>
    <d v="2026-01-15T16:10:35"/>
    <d v="2026-01-15T00:00:00"/>
    <d v="2025-03-31T00:00:00"/>
    <n v="1"/>
    <m/>
  </r>
  <r>
    <s v="TRX0250"/>
    <x v="156"/>
    <s v="CUST026"/>
    <s v="Karen Hill"/>
    <s v="P010"/>
    <x v="8"/>
    <x v="0"/>
    <x v="2"/>
    <x v="10"/>
    <x v="3"/>
    <x v="3"/>
    <x v="1"/>
    <d v="2021-11-22T00:00:00"/>
    <x v="28"/>
    <d v="2026-01-15T16:10:35"/>
    <d v="2026-01-15T00:00:00"/>
    <d v="2025-03-31T00:00:00"/>
    <n v="3"/>
    <m/>
  </r>
  <r>
    <s v="TRX0068"/>
    <x v="157"/>
    <s v="CUST044"/>
    <s v="Cynthia Price"/>
    <s v="P002"/>
    <x v="5"/>
    <x v="0"/>
    <x v="2"/>
    <x v="6"/>
    <x v="2"/>
    <x v="2"/>
    <x v="2"/>
    <d v="2022-02-26T00:00:00"/>
    <x v="10"/>
    <d v="2026-01-15T16:10:35"/>
    <d v="2026-01-15T00:00:00"/>
    <d v="2025-04-30T00:00:00"/>
    <n v="3"/>
    <m/>
  </r>
  <r>
    <s v="TRX0144"/>
    <x v="158"/>
    <s v="CUST029"/>
    <s v="Edward Mitchell"/>
    <s v="P001"/>
    <x v="4"/>
    <x v="0"/>
    <x v="0"/>
    <x v="5"/>
    <x v="0"/>
    <x v="0"/>
    <x v="2"/>
    <d v="2023-01-27T00:00:00"/>
    <x v="4"/>
    <d v="2026-01-15T16:10:35"/>
    <d v="2026-01-15T00:00:00"/>
    <d v="2025-04-30T00:00:00"/>
    <n v="2"/>
    <m/>
  </r>
  <r>
    <s v="TRX0039"/>
    <x v="159"/>
    <s v="CUST048"/>
    <s v="Virginia Sanders"/>
    <s v="P004"/>
    <x v="7"/>
    <x v="1"/>
    <x v="0"/>
    <x v="9"/>
    <x v="1"/>
    <x v="2"/>
    <x v="0"/>
    <d v="2021-11-11T00:00:00"/>
    <x v="18"/>
    <d v="2026-01-15T16:10:35"/>
    <d v="2026-01-15T00:00:00"/>
    <d v="2025-04-30T00:00:00"/>
    <n v="3"/>
    <m/>
  </r>
  <r>
    <s v="TRX0116"/>
    <x v="160"/>
    <s v="CUST009"/>
    <s v="Robert Thomas"/>
    <s v="P010"/>
    <x v="8"/>
    <x v="0"/>
    <x v="3"/>
    <x v="10"/>
    <x v="3"/>
    <x v="4"/>
    <x v="0"/>
    <d v="2024-02-24T00:00:00"/>
    <x v="27"/>
    <d v="2026-01-15T16:10:35"/>
    <d v="2026-01-15T00:00:00"/>
    <d v="2025-04-30T00:00:00"/>
    <n v="1"/>
    <m/>
  </r>
  <r>
    <s v="TRX0120"/>
    <x v="161"/>
    <s v="CUST045"/>
    <s v="Douglas Watson"/>
    <s v="P002"/>
    <x v="5"/>
    <x v="0"/>
    <x v="0"/>
    <x v="6"/>
    <x v="2"/>
    <x v="2"/>
    <x v="0"/>
    <d v="2022-12-14T00:00:00"/>
    <x v="7"/>
    <d v="2026-01-15T16:10:35"/>
    <d v="2026-01-15T00:00:00"/>
    <d v="2025-04-30T00:00:00"/>
    <n v="2"/>
    <m/>
  </r>
  <r>
    <s v="TRX0103"/>
    <x v="161"/>
    <s v="CUST039"/>
    <s v="Lawrence Reed"/>
    <s v="P010"/>
    <x v="8"/>
    <x v="0"/>
    <x v="2"/>
    <x v="10"/>
    <x v="3"/>
    <x v="4"/>
    <x v="0"/>
    <d v="2023-06-11T00:00:00"/>
    <x v="28"/>
    <d v="2026-01-15T16:10:35"/>
    <d v="2026-01-15T00:00:00"/>
    <d v="2025-04-30T00:00:00"/>
    <n v="1"/>
    <m/>
  </r>
  <r>
    <s v="TRX0064"/>
    <x v="161"/>
    <s v="CUST031"/>
    <s v="Steven Turner"/>
    <s v="P010"/>
    <x v="8"/>
    <x v="0"/>
    <x v="0"/>
    <x v="10"/>
    <x v="3"/>
    <x v="2"/>
    <x v="1"/>
    <d v="2022-11-13T00:00:00"/>
    <x v="25"/>
    <d v="2026-01-15T16:10:35"/>
    <d v="2026-01-15T00:00:00"/>
    <d v="2025-04-30T00:00:00"/>
    <n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7D7A55-F6C5-446F-A5D0-6E3132195BD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2">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items count="6">
        <item x="3"/>
        <item x="2"/>
        <item x="0"/>
        <item x="4"/>
        <item x="1"/>
        <item t="default"/>
      </items>
    </pivotField>
    <pivotField showAll="0"/>
    <pivotField showAll="0">
      <items count="5">
        <item x="0"/>
        <item x="1"/>
        <item x="3"/>
        <item x="2"/>
        <item t="default"/>
      </items>
    </pivotField>
    <pivotField axis="axisRow" showAll="0">
      <items count="6">
        <item x="0"/>
        <item x="4"/>
        <item x="2"/>
        <item x="1"/>
        <item x="3"/>
        <item t="default"/>
      </items>
    </pivotField>
    <pivotField showAll="0">
      <items count="4">
        <item x="0"/>
        <item x="1"/>
        <item x="2"/>
        <item t="default"/>
      </items>
    </pivotField>
    <pivotField numFmtId="16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numFmtId="22" showAll="0"/>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890C28-28B6-4473-941F-5CBC0E2D0BE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2">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pivotField dataField="1" showAll="0"/>
    <pivotField numFmtId="22" showAll="0"/>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E7BF08-7179-43CA-A940-119A0A5CC78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22">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showAll="0"/>
    <pivotField showAll="0"/>
    <pivotField numFmtId="164" showAll="0"/>
    <pivotField dataField="1" showAll="0"/>
    <pivotField numFmtId="22" showAll="0"/>
    <pivotField numFmtId="1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21"/>
    <field x="19"/>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307762-761D-4764-9A71-34F56EDF2E5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2">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pivotField axis="axisRow" showAll="0">
      <items count="4">
        <item x="0"/>
        <item x="1"/>
        <item x="2"/>
        <item t="default"/>
      </items>
    </pivotField>
    <pivotField numFmtId="16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numFmtId="22" showAll="0"/>
    <pivotField numFmtId="14"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Sum of Total_Amount" fld="13"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3AAE01-BD7A-4811-9A3C-60DCB1A833E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22">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showAll="0"/>
    <pivotField showAll="0">
      <items count="13">
        <item x="4"/>
        <item x="1"/>
        <item x="9"/>
        <item x="10"/>
        <item x="3"/>
        <item x="2"/>
        <item x="11"/>
        <item x="7"/>
        <item x="0"/>
        <item x="8"/>
        <item x="6"/>
        <item x="5"/>
        <item t="default"/>
      </items>
    </pivotField>
    <pivotField dataField="1" showAll="0"/>
    <pivotField showAll="0"/>
    <pivotField showAll="0"/>
    <pivotField numFmtId="164" showAll="0"/>
    <pivotField showAll="0"/>
    <pivotField numFmtId="22" showAll="0"/>
    <pivotField numFmtId="14"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11">
    <i>
      <x/>
    </i>
    <i>
      <x v="1"/>
    </i>
    <i>
      <x v="2"/>
    </i>
    <i>
      <x v="3"/>
    </i>
    <i>
      <x v="4"/>
    </i>
    <i>
      <x v="5"/>
    </i>
    <i>
      <x v="6"/>
    </i>
    <i>
      <x v="7"/>
    </i>
    <i>
      <x v="8"/>
    </i>
    <i>
      <x v="9"/>
    </i>
    <i t="grand">
      <x/>
    </i>
  </rowItems>
  <colItems count="1">
    <i/>
  </colItems>
  <dataFields count="1">
    <dataField name="Count of Payment_Method" fld="9" subtotal="count" baseField="0" baseItem="0"/>
  </dataFields>
  <chartFormats count="12">
    <chartFormat chart="20" format="0"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5" count="1" selected="0">
            <x v="0"/>
          </reference>
        </references>
      </pivotArea>
    </chartFormat>
    <chartFormat chart="26" format="10">
      <pivotArea type="data" outline="0" fieldPosition="0">
        <references count="2">
          <reference field="4294967294" count="1" selected="0">
            <x v="0"/>
          </reference>
          <reference field="5" count="1" selected="0">
            <x v="1"/>
          </reference>
        </references>
      </pivotArea>
    </chartFormat>
    <chartFormat chart="26" format="11">
      <pivotArea type="data" outline="0" fieldPosition="0">
        <references count="2">
          <reference field="4294967294" count="1" selected="0">
            <x v="0"/>
          </reference>
          <reference field="5" count="1" selected="0">
            <x v="3"/>
          </reference>
        </references>
      </pivotArea>
    </chartFormat>
    <chartFormat chart="26" format="12">
      <pivotArea type="data" outline="0" fieldPosition="0">
        <references count="2">
          <reference field="4294967294" count="1" selected="0">
            <x v="0"/>
          </reference>
          <reference field="5" count="1" selected="0">
            <x v="5"/>
          </reference>
        </references>
      </pivotArea>
    </chartFormat>
    <chartFormat chart="26" format="13">
      <pivotArea type="data" outline="0" fieldPosition="0">
        <references count="2">
          <reference field="4294967294" count="1" selected="0">
            <x v="0"/>
          </reference>
          <reference field="5" count="1" selected="0">
            <x v="7"/>
          </reference>
        </references>
      </pivotArea>
    </chartFormat>
    <chartFormat chart="26" format="14">
      <pivotArea type="data" outline="0" fieldPosition="0">
        <references count="2">
          <reference field="4294967294" count="1" selected="0">
            <x v="0"/>
          </reference>
          <reference field="5" count="1" selected="0">
            <x v="9"/>
          </reference>
        </references>
      </pivotArea>
    </chartFormat>
    <chartFormat chart="26" format="15">
      <pivotArea type="data" outline="0" fieldPosition="0">
        <references count="2">
          <reference field="4294967294" count="1" selected="0">
            <x v="0"/>
          </reference>
          <reference field="5" count="1" selected="0">
            <x v="2"/>
          </reference>
        </references>
      </pivotArea>
    </chartFormat>
    <chartFormat chart="26" format="16">
      <pivotArea type="data" outline="0" fieldPosition="0">
        <references count="2">
          <reference field="4294967294" count="1" selected="0">
            <x v="0"/>
          </reference>
          <reference field="5" count="1" selected="0">
            <x v="4"/>
          </reference>
        </references>
      </pivotArea>
    </chartFormat>
    <chartFormat chart="26" format="17">
      <pivotArea type="data" outline="0" fieldPosition="0">
        <references count="2">
          <reference field="4294967294" count="1" selected="0">
            <x v="0"/>
          </reference>
          <reference field="5" count="1" selected="0">
            <x v="6"/>
          </reference>
        </references>
      </pivotArea>
    </chartFormat>
    <chartFormat chart="26" format="18">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7916D19A-B2E6-4670-ABF8-6CA521EDD025}" sourceName="Months (Date)">
  <pivotTables>
    <pivotTable tabId="8" name="PivotTable3"/>
  </pivotTables>
  <data>
    <tabular pivotCacheId="176079145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BFBBF9B-BC0D-48A1-8994-6AB90A6A575C}" sourceName="Product_Name">
  <pivotTables>
    <pivotTable tabId="9" name="PivotTable4"/>
  </pivotTables>
  <data>
    <tabular pivotCacheId="1760791455">
      <items count="10">
        <i x="1" s="1"/>
        <i x="2" s="1"/>
        <i x="7" s="1"/>
        <i x="6" s="1"/>
        <i x="3" s="1"/>
        <i x="8" s="1"/>
        <i x="4" s="1"/>
        <i x="0"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A4CB39F-E417-48D3-932B-B1C17892F85C}" sourceName="Customer_Segment">
  <pivotTables>
    <pivotTable tabId="6" name="PivotTable1"/>
  </pivotTables>
  <data>
    <tabular pivotCacheId="176079145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3FD284-92EA-419B-9880-9A99D5B0362E}" sourceName="Region">
  <pivotTables>
    <pivotTable tabId="5" name="PivotTable1"/>
  </pivotTables>
  <data>
    <tabular pivotCacheId="176079145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8DD56B-5CA2-4FBD-BAC2-52CB77A5181D}"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890035E8-CAA3-42F0-9AA5-1E4C2BEF1063}" cache="Slicer_Months__Date" caption="Months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92247974-9848-4B51-BB7A-8FC01FB8B62E}" cache="Slicer_Customer_Segment" caption="Customer_Seg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4BB4714E-5680-4A45-954D-B9E703CEDA77}" cache="Slicer_Product_Name" caption="Product_Nam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EA768CF1-BB7D-492A-A2D2-22DF4EC04F7C}" cache="Slicer_Months__Date" caption="Months (Date)" rowHeight="234950"/>
  <slicer name="Product_Name 1" xr10:uid="{5580D53F-FF64-4F4F-90B7-EE131F302337}" cache="Slicer_Product_Name" caption="Product_Name" rowHeight="234950"/>
  <slicer name="Customer_Segment 1" xr10:uid="{8C36B49A-12C5-49F7-A2F5-BCADE0CE6EF5}" cache="Slicer_Customer_Segment" caption="Customer_Segment"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workbookViewId="0"/>
  </sheetViews>
  <sheetFormatPr defaultColWidth="14.44140625" defaultRowHeight="15" customHeight="1" x14ac:dyDescent="0.3"/>
  <cols>
    <col min="1" max="1" width="92.33203125" bestFit="1" customWidth="1"/>
    <col min="2" max="25" width="8.6640625" customWidth="1"/>
  </cols>
  <sheetData>
    <row r="1" spans="1:25" ht="14.4" x14ac:dyDescent="0.3">
      <c r="A1" s="1" t="s">
        <v>428</v>
      </c>
      <c r="B1" s="2"/>
      <c r="C1" s="2"/>
      <c r="D1" s="2"/>
      <c r="E1" s="2"/>
      <c r="F1" s="2"/>
      <c r="G1" s="2"/>
      <c r="H1" s="2"/>
      <c r="I1" s="2"/>
      <c r="J1" s="2"/>
      <c r="K1" s="2"/>
      <c r="L1" s="2"/>
      <c r="M1" s="2"/>
      <c r="N1" s="2"/>
      <c r="O1" s="2"/>
      <c r="P1" s="2"/>
      <c r="Q1" s="2"/>
      <c r="R1" s="2"/>
      <c r="S1" s="2"/>
      <c r="T1" s="2"/>
      <c r="U1" s="2"/>
      <c r="V1" s="2"/>
      <c r="W1" s="2"/>
      <c r="X1" s="2"/>
      <c r="Y1" s="2"/>
    </row>
    <row r="2" spans="1:25" ht="409.6" x14ac:dyDescent="0.3">
      <c r="A2" s="6" t="s">
        <v>0</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A06B-1777-48DE-969E-D0193BF73BAA}">
  <dimension ref="A1:I18"/>
  <sheetViews>
    <sheetView workbookViewId="0">
      <selection activeCell="Q12" sqref="Q12"/>
    </sheetView>
  </sheetViews>
  <sheetFormatPr defaultRowHeight="14.4" x14ac:dyDescent="0.3"/>
  <cols>
    <col min="6" max="6" width="12.6640625" bestFit="1" customWidth="1"/>
    <col min="9" max="9" width="12.109375" bestFit="1" customWidth="1"/>
  </cols>
  <sheetData>
    <row r="1" spans="1:9" x14ac:dyDescent="0.3">
      <c r="A1" t="s">
        <v>404</v>
      </c>
    </row>
    <row r="2" spans="1:9" ht="15" thickBot="1" x14ac:dyDescent="0.35"/>
    <row r="3" spans="1:9" x14ac:dyDescent="0.3">
      <c r="A3" s="17" t="s">
        <v>405</v>
      </c>
      <c r="B3" s="17"/>
    </row>
    <row r="4" spans="1:9" x14ac:dyDescent="0.3">
      <c r="A4" t="s">
        <v>406</v>
      </c>
      <c r="B4">
        <v>0.45808036093237842</v>
      </c>
    </row>
    <row r="5" spans="1:9" x14ac:dyDescent="0.3">
      <c r="A5" t="s">
        <v>407</v>
      </c>
      <c r="B5">
        <v>0.2098376170719381</v>
      </c>
    </row>
    <row r="6" spans="1:9" x14ac:dyDescent="0.3">
      <c r="A6" t="s">
        <v>408</v>
      </c>
      <c r="B6">
        <v>0.20665147843109913</v>
      </c>
    </row>
    <row r="7" spans="1:9" x14ac:dyDescent="0.3">
      <c r="A7" t="s">
        <v>409</v>
      </c>
      <c r="B7">
        <v>919.60715349471081</v>
      </c>
    </row>
    <row r="8" spans="1:9" ht="15" thickBot="1" x14ac:dyDescent="0.35">
      <c r="A8" s="15" t="s">
        <v>410</v>
      </c>
      <c r="B8" s="15">
        <v>250</v>
      </c>
    </row>
    <row r="10" spans="1:9" ht="15" thickBot="1" x14ac:dyDescent="0.35">
      <c r="A10" t="s">
        <v>411</v>
      </c>
    </row>
    <row r="11" spans="1:9" x14ac:dyDescent="0.3">
      <c r="A11" s="16"/>
      <c r="B11" s="16" t="s">
        <v>416</v>
      </c>
      <c r="C11" s="16" t="s">
        <v>417</v>
      </c>
      <c r="D11" s="16" t="s">
        <v>418</v>
      </c>
      <c r="E11" s="16" t="s">
        <v>419</v>
      </c>
      <c r="F11" s="16" t="s">
        <v>420</v>
      </c>
    </row>
    <row r="12" spans="1:9" x14ac:dyDescent="0.3">
      <c r="A12" t="s">
        <v>412</v>
      </c>
      <c r="B12">
        <v>1</v>
      </c>
      <c r="C12">
        <v>55695916.896352619</v>
      </c>
      <c r="D12">
        <v>55695916.896352619</v>
      </c>
      <c r="E12">
        <v>65.859537429508919</v>
      </c>
      <c r="F12">
        <v>2.2586478953134677E-14</v>
      </c>
    </row>
    <row r="13" spans="1:9" x14ac:dyDescent="0.3">
      <c r="A13" t="s">
        <v>413</v>
      </c>
      <c r="B13">
        <v>248</v>
      </c>
      <c r="C13">
        <v>209727974.55614385</v>
      </c>
      <c r="D13">
        <v>845677.31675864453</v>
      </c>
    </row>
    <row r="14" spans="1:9" ht="15" thickBot="1" x14ac:dyDescent="0.35">
      <c r="A14" s="15" t="s">
        <v>414</v>
      </c>
      <c r="B14" s="15">
        <v>249</v>
      </c>
      <c r="C14" s="15">
        <v>265423891.45249647</v>
      </c>
      <c r="D14" s="15"/>
      <c r="E14" s="15"/>
      <c r="F14" s="15"/>
    </row>
    <row r="15" spans="1:9" ht="15" thickBot="1" x14ac:dyDescent="0.35"/>
    <row r="16" spans="1:9" x14ac:dyDescent="0.3">
      <c r="A16" s="16"/>
      <c r="B16" s="16" t="s">
        <v>421</v>
      </c>
      <c r="C16" s="16" t="s">
        <v>409</v>
      </c>
      <c r="D16" s="16" t="s">
        <v>422</v>
      </c>
      <c r="E16" s="16" t="s">
        <v>423</v>
      </c>
      <c r="F16" s="16" t="s">
        <v>424</v>
      </c>
      <c r="G16" s="16" t="s">
        <v>425</v>
      </c>
      <c r="H16" s="16" t="s">
        <v>426</v>
      </c>
      <c r="I16" s="16" t="s">
        <v>427</v>
      </c>
    </row>
    <row r="17" spans="1:9" x14ac:dyDescent="0.3">
      <c r="A17" t="s">
        <v>415</v>
      </c>
      <c r="B17">
        <v>-148.85464891541903</v>
      </c>
      <c r="C17">
        <v>143.61334429876464</v>
      </c>
      <c r="D17">
        <v>-1.0364959443166415</v>
      </c>
      <c r="E17">
        <v>0.30098040367911694</v>
      </c>
      <c r="F17">
        <v>-431.71199538208884</v>
      </c>
      <c r="G17">
        <v>134.00269755125078</v>
      </c>
      <c r="H17">
        <v>-431.71199538208884</v>
      </c>
      <c r="I17">
        <v>134.00269755125078</v>
      </c>
    </row>
    <row r="18" spans="1:9" ht="15" thickBot="1" x14ac:dyDescent="0.35">
      <c r="A18" s="15" t="s">
        <v>8</v>
      </c>
      <c r="B18" s="15">
        <v>353.7930042879882</v>
      </c>
      <c r="C18" s="15">
        <v>43.595323340526868</v>
      </c>
      <c r="D18" s="15">
        <v>8.1153889265708674</v>
      </c>
      <c r="E18" s="15">
        <v>2.2586478953133775E-14</v>
      </c>
      <c r="F18" s="15">
        <v>267.92871682452869</v>
      </c>
      <c r="G18" s="15">
        <v>439.6572917514477</v>
      </c>
      <c r="H18" s="15">
        <v>267.92871682452869</v>
      </c>
      <c r="I18" s="15">
        <v>439.6572917514477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FC998-3224-41A1-8FA8-6739E87E3EB3}">
  <dimension ref="A3:Q14"/>
  <sheetViews>
    <sheetView workbookViewId="0">
      <selection activeCell="Q14" sqref="Q14"/>
    </sheetView>
  </sheetViews>
  <sheetFormatPr defaultRowHeight="14.4" x14ac:dyDescent="0.3"/>
  <cols>
    <col min="1" max="1" width="12.5546875" bestFit="1" customWidth="1"/>
    <col min="2" max="2" width="19.77734375" bestFit="1" customWidth="1"/>
  </cols>
  <sheetData>
    <row r="3" spans="1:17" x14ac:dyDescent="0.3">
      <c r="A3" s="25" t="s">
        <v>433</v>
      </c>
      <c r="B3" t="s">
        <v>435</v>
      </c>
      <c r="E3" t="s">
        <v>436</v>
      </c>
    </row>
    <row r="4" spans="1:17" x14ac:dyDescent="0.3">
      <c r="A4" s="26" t="s">
        <v>21</v>
      </c>
      <c r="B4">
        <v>41288.340000000018</v>
      </c>
    </row>
    <row r="5" spans="1:17" x14ac:dyDescent="0.3">
      <c r="A5" s="26" t="s">
        <v>63</v>
      </c>
      <c r="B5">
        <v>59288.389999999992</v>
      </c>
    </row>
    <row r="6" spans="1:17" x14ac:dyDescent="0.3">
      <c r="A6" s="26" t="s">
        <v>40</v>
      </c>
      <c r="B6">
        <v>50808.310000000012</v>
      </c>
    </row>
    <row r="7" spans="1:17" x14ac:dyDescent="0.3">
      <c r="A7" s="26" t="s">
        <v>35</v>
      </c>
      <c r="B7">
        <v>36398.750000000007</v>
      </c>
    </row>
    <row r="8" spans="1:17" x14ac:dyDescent="0.3">
      <c r="A8" s="26" t="s">
        <v>50</v>
      </c>
      <c r="B8">
        <v>41408.680000000015</v>
      </c>
    </row>
    <row r="9" spans="1:17" x14ac:dyDescent="0.3">
      <c r="A9" s="26" t="s">
        <v>434</v>
      </c>
      <c r="B9">
        <v>229192.47000000006</v>
      </c>
    </row>
    <row r="14" spans="1:17" x14ac:dyDescent="0.3">
      <c r="Q14" t="s">
        <v>452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5E8DD-AABF-4392-BC80-35F2D09F1330}">
  <dimension ref="A3:B7"/>
  <sheetViews>
    <sheetView workbookViewId="0">
      <selection activeCell="J26" sqref="J26"/>
    </sheetView>
  </sheetViews>
  <sheetFormatPr defaultRowHeight="14.4" x14ac:dyDescent="0.3"/>
  <cols>
    <col min="1" max="1" width="12.5546875" bestFit="1" customWidth="1"/>
    <col min="2" max="2" width="19.77734375" bestFit="1" customWidth="1"/>
  </cols>
  <sheetData>
    <row r="3" spans="1:2" x14ac:dyDescent="0.3">
      <c r="A3" s="25" t="s">
        <v>433</v>
      </c>
      <c r="B3" t="s">
        <v>435</v>
      </c>
    </row>
    <row r="4" spans="1:2" x14ac:dyDescent="0.3">
      <c r="A4" s="26" t="s">
        <v>33</v>
      </c>
      <c r="B4">
        <v>8338.7399999999961</v>
      </c>
    </row>
    <row r="5" spans="1:2" x14ac:dyDescent="0.3">
      <c r="A5" s="26" t="s">
        <v>19</v>
      </c>
      <c r="B5">
        <v>171756.05000000013</v>
      </c>
    </row>
    <row r="6" spans="1:2" x14ac:dyDescent="0.3">
      <c r="A6" s="26" t="s">
        <v>46</v>
      </c>
      <c r="B6">
        <v>49097.680000000015</v>
      </c>
    </row>
    <row r="7" spans="1:2" x14ac:dyDescent="0.3">
      <c r="A7" s="26" t="s">
        <v>434</v>
      </c>
      <c r="B7">
        <v>229192.47000000015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1BBA-BF64-4C1F-A10B-8D1AE2497FD8}">
  <dimension ref="A3:G19"/>
  <sheetViews>
    <sheetView workbookViewId="0">
      <selection activeCell="J17" sqref="J17"/>
    </sheetView>
  </sheetViews>
  <sheetFormatPr defaultRowHeight="14.4" x14ac:dyDescent="0.3"/>
  <cols>
    <col min="1" max="1" width="12.5546875" bestFit="1" customWidth="1"/>
    <col min="2" max="2" width="19.77734375" bestFit="1" customWidth="1"/>
    <col min="7" max="7" width="12.77734375" bestFit="1" customWidth="1"/>
  </cols>
  <sheetData>
    <row r="3" spans="1:2" x14ac:dyDescent="0.3">
      <c r="A3" s="25" t="s">
        <v>433</v>
      </c>
      <c r="B3" t="s">
        <v>435</v>
      </c>
    </row>
    <row r="4" spans="1:2" x14ac:dyDescent="0.3">
      <c r="A4" s="26" t="s">
        <v>438</v>
      </c>
      <c r="B4">
        <v>160444.72999999998</v>
      </c>
    </row>
    <row r="5" spans="1:2" x14ac:dyDescent="0.3">
      <c r="A5" s="27" t="s">
        <v>440</v>
      </c>
      <c r="B5">
        <v>20919.330000000002</v>
      </c>
    </row>
    <row r="6" spans="1:2" x14ac:dyDescent="0.3">
      <c r="A6" s="27" t="s">
        <v>441</v>
      </c>
      <c r="B6">
        <v>17039.349999999999</v>
      </c>
    </row>
    <row r="7" spans="1:2" x14ac:dyDescent="0.3">
      <c r="A7" s="27" t="s">
        <v>442</v>
      </c>
      <c r="B7">
        <v>19299.45</v>
      </c>
    </row>
    <row r="8" spans="1:2" x14ac:dyDescent="0.3">
      <c r="A8" s="27" t="s">
        <v>443</v>
      </c>
      <c r="B8">
        <v>18479.399999999994</v>
      </c>
    </row>
    <row r="9" spans="1:2" x14ac:dyDescent="0.3">
      <c r="A9" s="27" t="s">
        <v>444</v>
      </c>
      <c r="B9">
        <v>15759.429999999997</v>
      </c>
    </row>
    <row r="10" spans="1:2" x14ac:dyDescent="0.3">
      <c r="A10" s="27" t="s">
        <v>445</v>
      </c>
      <c r="B10">
        <v>12989.509999999997</v>
      </c>
    </row>
    <row r="11" spans="1:2" x14ac:dyDescent="0.3">
      <c r="A11" s="27" t="s">
        <v>446</v>
      </c>
      <c r="B11">
        <v>20609.52</v>
      </c>
    </row>
    <row r="12" spans="1:2" x14ac:dyDescent="0.3">
      <c r="A12" s="27" t="s">
        <v>447</v>
      </c>
      <c r="B12">
        <v>12309.439999999999</v>
      </c>
    </row>
    <row r="13" spans="1:2" x14ac:dyDescent="0.3">
      <c r="A13" s="27" t="s">
        <v>448</v>
      </c>
      <c r="B13">
        <v>23039.3</v>
      </c>
    </row>
    <row r="14" spans="1:2" x14ac:dyDescent="0.3">
      <c r="A14" s="26" t="s">
        <v>439</v>
      </c>
      <c r="B14">
        <v>68747.739999999991</v>
      </c>
    </row>
    <row r="15" spans="1:2" x14ac:dyDescent="0.3">
      <c r="A15" s="27" t="s">
        <v>449</v>
      </c>
      <c r="B15">
        <v>25799.15</v>
      </c>
    </row>
    <row r="16" spans="1:2" x14ac:dyDescent="0.3">
      <c r="A16" s="27" t="s">
        <v>450</v>
      </c>
      <c r="B16">
        <v>16069.379999999997</v>
      </c>
    </row>
    <row r="17" spans="1:7" x14ac:dyDescent="0.3">
      <c r="A17" s="27" t="s">
        <v>451</v>
      </c>
      <c r="B17">
        <v>19899.379999999997</v>
      </c>
    </row>
    <row r="18" spans="1:7" x14ac:dyDescent="0.3">
      <c r="A18" s="27" t="s">
        <v>440</v>
      </c>
      <c r="B18">
        <v>6979.829999999999</v>
      </c>
      <c r="G18" s="28">
        <f>GETPIVOTDATA("Total_Amount",$A$3)</f>
        <v>229192.46999999997</v>
      </c>
    </row>
    <row r="19" spans="1:7" x14ac:dyDescent="0.3">
      <c r="A19" s="26" t="s">
        <v>434</v>
      </c>
      <c r="B19">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4ECA0-50F2-4261-9688-9C9155DA4C78}">
  <dimension ref="A3:G26"/>
  <sheetViews>
    <sheetView workbookViewId="0">
      <selection activeCell="N16" sqref="N16"/>
    </sheetView>
  </sheetViews>
  <sheetFormatPr defaultRowHeight="14.4" x14ac:dyDescent="0.3"/>
  <cols>
    <col min="1" max="1" width="12.5546875" bestFit="1" customWidth="1"/>
    <col min="2" max="2" width="19.77734375" bestFit="1" customWidth="1"/>
  </cols>
  <sheetData>
    <row r="3" spans="1:2" x14ac:dyDescent="0.3">
      <c r="A3" s="25" t="s">
        <v>433</v>
      </c>
      <c r="B3" t="s">
        <v>435</v>
      </c>
    </row>
    <row r="4" spans="1:2" x14ac:dyDescent="0.3">
      <c r="A4" s="26" t="s">
        <v>22</v>
      </c>
      <c r="B4">
        <v>62177.810000000019</v>
      </c>
    </row>
    <row r="5" spans="1:2" x14ac:dyDescent="0.3">
      <c r="A5" s="26" t="s">
        <v>27</v>
      </c>
      <c r="B5">
        <v>84657.12000000001</v>
      </c>
    </row>
    <row r="6" spans="1:2" x14ac:dyDescent="0.3">
      <c r="A6" s="26" t="s">
        <v>36</v>
      </c>
      <c r="B6">
        <v>82357.540000000037</v>
      </c>
    </row>
    <row r="7" spans="1:2" x14ac:dyDescent="0.3">
      <c r="A7" s="26" t="s">
        <v>434</v>
      </c>
      <c r="B7">
        <v>229192.47000000006</v>
      </c>
    </row>
    <row r="26" spans="7:7" x14ac:dyDescent="0.3">
      <c r="G26" t="s">
        <v>428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360F0-3307-430D-99BE-00D9E4333375}">
  <sheetPr filterMode="1"/>
  <dimension ref="A3:B14"/>
  <sheetViews>
    <sheetView workbookViewId="0">
      <selection activeCell="L4" sqref="L4"/>
    </sheetView>
  </sheetViews>
  <sheetFormatPr defaultRowHeight="14.4" x14ac:dyDescent="0.3"/>
  <cols>
    <col min="1" max="1" width="12.5546875" bestFit="1" customWidth="1"/>
    <col min="2" max="2" width="26.6640625" bestFit="1" customWidth="1"/>
  </cols>
  <sheetData>
    <row r="3" spans="1:2" x14ac:dyDescent="0.3">
      <c r="A3" s="25" t="s">
        <v>433</v>
      </c>
      <c r="B3" t="s">
        <v>437</v>
      </c>
    </row>
    <row r="4" spans="1:2" x14ac:dyDescent="0.3">
      <c r="A4" s="26" t="s">
        <v>32</v>
      </c>
      <c r="B4">
        <v>29</v>
      </c>
    </row>
    <row r="5" spans="1:2" x14ac:dyDescent="0.3">
      <c r="A5" s="26" t="s">
        <v>45</v>
      </c>
      <c r="B5">
        <v>35</v>
      </c>
    </row>
    <row r="6" spans="1:2" hidden="1" x14ac:dyDescent="0.3">
      <c r="A6" s="26" t="s">
        <v>115</v>
      </c>
      <c r="B6">
        <v>14</v>
      </c>
    </row>
    <row r="7" spans="1:2" x14ac:dyDescent="0.3">
      <c r="A7" s="26" t="s">
        <v>106</v>
      </c>
      <c r="B7">
        <v>26</v>
      </c>
    </row>
    <row r="8" spans="1:2" hidden="1" x14ac:dyDescent="0.3">
      <c r="A8" s="26" t="s">
        <v>53</v>
      </c>
      <c r="B8">
        <v>16</v>
      </c>
    </row>
    <row r="9" spans="1:2" x14ac:dyDescent="0.3">
      <c r="A9" s="26" t="s">
        <v>118</v>
      </c>
      <c r="B9">
        <v>34</v>
      </c>
    </row>
    <row r="10" spans="1:2" x14ac:dyDescent="0.3">
      <c r="A10" s="26" t="s">
        <v>62</v>
      </c>
      <c r="B10">
        <v>24</v>
      </c>
    </row>
    <row r="11" spans="1:2" hidden="1" x14ac:dyDescent="0.3">
      <c r="A11" s="26" t="s">
        <v>18</v>
      </c>
      <c r="B11">
        <v>26</v>
      </c>
    </row>
    <row r="12" spans="1:2" hidden="1" x14ac:dyDescent="0.3">
      <c r="A12" s="26" t="s">
        <v>127</v>
      </c>
      <c r="B12">
        <v>15</v>
      </c>
    </row>
    <row r="13" spans="1:2" hidden="1" x14ac:dyDescent="0.3">
      <c r="A13" s="26" t="s">
        <v>81</v>
      </c>
      <c r="B13">
        <v>31</v>
      </c>
    </row>
    <row r="14" spans="1:2" hidden="1" x14ac:dyDescent="0.3">
      <c r="A14" s="26" t="s">
        <v>434</v>
      </c>
      <c r="B14">
        <v>250</v>
      </c>
    </row>
  </sheetData>
  <autoFilter ref="A3:B14" xr:uid="{7F6360F0-3307-430D-99BE-00D9E4333375}">
    <filterColumn colId="1">
      <top10 val="5" filterVal="29"/>
    </filterColumn>
  </autoFilter>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65DD4-0143-4240-BC9E-024F3C403E8F}">
  <dimension ref="U16:W23"/>
  <sheetViews>
    <sheetView tabSelected="1" workbookViewId="0">
      <selection activeCell="V21" sqref="V21:W23"/>
    </sheetView>
  </sheetViews>
  <sheetFormatPr defaultRowHeight="14.4" x14ac:dyDescent="0.3"/>
  <sheetData>
    <row r="16" spans="21:23" x14ac:dyDescent="0.3">
      <c r="U16" s="30">
        <f>'years of Amount'!G18</f>
        <v>229192.46999999997</v>
      </c>
      <c r="V16" s="30"/>
      <c r="W16" s="30"/>
    </row>
    <row r="17" spans="21:23" x14ac:dyDescent="0.3">
      <c r="U17" s="30"/>
      <c r="V17" s="30"/>
      <c r="W17" s="30"/>
    </row>
    <row r="18" spans="21:23" x14ac:dyDescent="0.3">
      <c r="U18" s="30"/>
      <c r="V18" s="30"/>
      <c r="W18" s="30"/>
    </row>
    <row r="21" spans="21:23" x14ac:dyDescent="0.3">
      <c r="V21" s="29" t="s">
        <v>453</v>
      </c>
      <c r="W21" s="29"/>
    </row>
    <row r="22" spans="21:23" x14ac:dyDescent="0.3">
      <c r="V22" s="29"/>
      <c r="W22" s="29"/>
    </row>
    <row r="23" spans="21:23" x14ac:dyDescent="0.3">
      <c r="V23" s="29"/>
      <c r="W23" s="29"/>
    </row>
  </sheetData>
  <mergeCells count="2">
    <mergeCell ref="U16:W18"/>
    <mergeCell ref="V21:W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9C048-049A-4FD9-BEA8-A83D12D7D82B}">
  <dimension ref="E1:AK1000"/>
  <sheetViews>
    <sheetView topLeftCell="E1" workbookViewId="0">
      <selection activeCell="E1" sqref="E1:W251"/>
    </sheetView>
  </sheetViews>
  <sheetFormatPr defaultColWidth="14.44140625" defaultRowHeight="15" customHeight="1" x14ac:dyDescent="0.3"/>
  <cols>
    <col min="1" max="1" width="13.6640625" customWidth="1"/>
    <col min="2" max="2" width="10.88671875" customWidth="1"/>
    <col min="3" max="3" width="12.33203125" customWidth="1"/>
    <col min="4" max="4" width="15.88671875" customWidth="1"/>
    <col min="5" max="5" width="10.6640625" customWidth="1"/>
    <col min="6" max="6" width="13.88671875" customWidth="1"/>
    <col min="7" max="7" width="10.44140625" customWidth="1"/>
    <col min="8" max="8" width="8.5546875" customWidth="1"/>
    <col min="9" max="9" width="10" customWidth="1"/>
    <col min="10" max="10" width="16.44140625" customWidth="1"/>
    <col min="11" max="11" width="7.33203125" customWidth="1"/>
    <col min="12" max="12" width="17.88671875" customWidth="1"/>
    <col min="13" max="13" width="14.88671875" customWidth="1"/>
    <col min="14" max="14" width="13.109375" customWidth="1"/>
    <col min="15" max="15" width="15.44140625" bestFit="1" customWidth="1"/>
    <col min="16" max="17" width="10.33203125" bestFit="1" customWidth="1"/>
    <col min="18" max="19" width="8.6640625" customWidth="1"/>
    <col min="20" max="20" width="15.21875" bestFit="1" customWidth="1"/>
    <col min="21" max="21" width="12.6640625" bestFit="1" customWidth="1"/>
    <col min="22" max="22" width="15.21875" bestFit="1" customWidth="1"/>
    <col min="23" max="23" width="15.109375" bestFit="1" customWidth="1"/>
    <col min="24" max="24" width="16.44140625" bestFit="1" customWidth="1"/>
    <col min="25" max="25" width="12.21875" bestFit="1" customWidth="1"/>
    <col min="26" max="26" width="9.88671875" bestFit="1" customWidth="1"/>
  </cols>
  <sheetData>
    <row r="1" spans="5:37" ht="14.4" x14ac:dyDescent="0.3">
      <c r="E1" s="7" t="s">
        <v>1</v>
      </c>
      <c r="F1" s="3" t="s">
        <v>2</v>
      </c>
      <c r="G1" s="3" t="s">
        <v>3</v>
      </c>
      <c r="H1" s="3" t="s">
        <v>4</v>
      </c>
      <c r="I1" s="3" t="s">
        <v>5</v>
      </c>
      <c r="J1" s="3" t="s">
        <v>6</v>
      </c>
      <c r="K1" s="3" t="s">
        <v>7</v>
      </c>
      <c r="L1" s="3" t="s">
        <v>8</v>
      </c>
      <c r="M1" s="3" t="s">
        <v>429</v>
      </c>
      <c r="N1" s="3" t="s">
        <v>9</v>
      </c>
      <c r="O1" s="3" t="s">
        <v>10</v>
      </c>
      <c r="P1" s="3" t="s">
        <v>11</v>
      </c>
      <c r="Q1" s="3" t="s">
        <v>12</v>
      </c>
      <c r="R1" s="3" t="s">
        <v>13</v>
      </c>
      <c r="S1" s="8" t="s">
        <v>399</v>
      </c>
      <c r="T1" s="9" t="s">
        <v>400</v>
      </c>
      <c r="U1" s="10" t="s">
        <v>401</v>
      </c>
      <c r="V1" s="11" t="s">
        <v>402</v>
      </c>
      <c r="W1" s="7" t="s">
        <v>403</v>
      </c>
      <c r="X1" s="3"/>
      <c r="Y1" s="3"/>
      <c r="Z1" s="3"/>
    </row>
    <row r="2" spans="5:37" ht="14.4" x14ac:dyDescent="0.3">
      <c r="E2" s="4" t="s">
        <v>14</v>
      </c>
      <c r="F2" s="5">
        <v>45393</v>
      </c>
      <c r="G2" s="4" t="s">
        <v>15</v>
      </c>
      <c r="H2" s="4" t="s">
        <v>16</v>
      </c>
      <c r="I2" s="4" t="s">
        <v>17</v>
      </c>
      <c r="J2" s="4" t="s">
        <v>18</v>
      </c>
      <c r="K2" s="4" t="s">
        <v>19</v>
      </c>
      <c r="L2" s="4">
        <v>3</v>
      </c>
      <c r="M2" s="4">
        <v>250</v>
      </c>
      <c r="N2" s="4" t="s">
        <v>20</v>
      </c>
      <c r="O2" s="4" t="s">
        <v>21</v>
      </c>
      <c r="P2" s="4" t="s">
        <v>22</v>
      </c>
      <c r="Q2" s="5">
        <v>44425</v>
      </c>
      <c r="R2" s="4">
        <v>749.97</v>
      </c>
      <c r="S2" s="12">
        <f ca="1">NOW()</f>
        <v>46038.591457291666</v>
      </c>
      <c r="T2" s="13">
        <f ca="1">TODAY()</f>
        <v>46038</v>
      </c>
      <c r="U2" s="14">
        <f>EOMONTH(F2,0)</f>
        <v>45412</v>
      </c>
      <c r="V2" cm="1">
        <f t="array" ref="V2:V251">DATEDIF(Q2:Q251,F2:F251,"Y")</f>
        <v>2</v>
      </c>
      <c r="X2" s="19" t="s">
        <v>430</v>
      </c>
    </row>
    <row r="3" spans="5:37" ht="14.4" x14ac:dyDescent="0.3">
      <c r="E3" s="4" t="s">
        <v>23</v>
      </c>
      <c r="F3" s="5">
        <v>45396</v>
      </c>
      <c r="G3" s="4" t="s">
        <v>24</v>
      </c>
      <c r="H3" s="4" t="s">
        <v>25</v>
      </c>
      <c r="I3" s="4" t="s">
        <v>17</v>
      </c>
      <c r="J3" s="4" t="s">
        <v>18</v>
      </c>
      <c r="K3" s="4" t="s">
        <v>19</v>
      </c>
      <c r="L3" s="4">
        <v>3</v>
      </c>
      <c r="M3" s="4">
        <v>250</v>
      </c>
      <c r="N3" s="4" t="s">
        <v>26</v>
      </c>
      <c r="O3" s="4" t="s">
        <v>21</v>
      </c>
      <c r="P3" s="4" t="s">
        <v>27</v>
      </c>
      <c r="Q3" s="5">
        <v>44575</v>
      </c>
      <c r="R3" s="4">
        <v>749.97</v>
      </c>
      <c r="S3" s="12">
        <f t="shared" ref="S3:S66" ca="1" si="0">NOW()</f>
        <v>46038.591457291666</v>
      </c>
      <c r="T3" s="13">
        <f t="shared" ref="T3:T66" ca="1" si="1">TODAY()</f>
        <v>46038</v>
      </c>
      <c r="U3" s="13">
        <f t="shared" ref="U3:U66" si="2">EOMONTH(F3,0)</f>
        <v>45412</v>
      </c>
      <c r="V3">
        <v>2</v>
      </c>
      <c r="W3" s="18" t="s">
        <v>4</v>
      </c>
      <c r="X3" s="20" t="str" cm="1">
        <f t="array" ref="X3:AK8">_xlfn._xlws.FILTER(E2:R251,(J2:J251="Laptop")*(P2:P251="Premium"),"No Premium Laptop Sales found")</f>
        <v>TRX0041</v>
      </c>
      <c r="Y3" s="20">
        <v>45432</v>
      </c>
      <c r="Z3" s="20" t="str">
        <v>CUST021</v>
      </c>
      <c r="AA3" s="20" t="str">
        <v>Kevin Scott</v>
      </c>
      <c r="AB3" s="20" t="str">
        <v>P001</v>
      </c>
      <c r="AC3" s="20" t="str">
        <v>Laptop</v>
      </c>
      <c r="AD3" s="20" t="str">
        <v>Electronics</v>
      </c>
      <c r="AE3" s="20">
        <v>1</v>
      </c>
      <c r="AF3" s="20">
        <v>899.99</v>
      </c>
      <c r="AG3" s="20" t="str">
        <v>Credit Card</v>
      </c>
      <c r="AH3" s="20" t="str">
        <v>West</v>
      </c>
      <c r="AI3" s="20" t="str">
        <v>Premium</v>
      </c>
      <c r="AJ3" s="20">
        <v>44578</v>
      </c>
      <c r="AK3" s="20">
        <v>899.99</v>
      </c>
    </row>
    <row r="4" spans="5:37" ht="14.4" x14ac:dyDescent="0.3">
      <c r="E4" s="4" t="s">
        <v>28</v>
      </c>
      <c r="F4" s="5">
        <v>45399</v>
      </c>
      <c r="G4" s="4" t="s">
        <v>29</v>
      </c>
      <c r="H4" s="4" t="s">
        <v>30</v>
      </c>
      <c r="I4" s="4" t="s">
        <v>31</v>
      </c>
      <c r="J4" s="4" t="s">
        <v>32</v>
      </c>
      <c r="K4" s="4" t="s">
        <v>33</v>
      </c>
      <c r="L4" s="4">
        <v>3</v>
      </c>
      <c r="M4" s="4">
        <v>60</v>
      </c>
      <c r="N4" s="4" t="s">
        <v>34</v>
      </c>
      <c r="O4" s="4" t="s">
        <v>35</v>
      </c>
      <c r="P4" s="4" t="s">
        <v>36</v>
      </c>
      <c r="Q4" s="5">
        <v>45262</v>
      </c>
      <c r="R4" s="4">
        <v>179.97</v>
      </c>
      <c r="S4" s="12">
        <f t="shared" ca="1" si="0"/>
        <v>46038.591457291666</v>
      </c>
      <c r="T4" s="13">
        <f t="shared" ca="1" si="1"/>
        <v>46038</v>
      </c>
      <c r="U4" s="13">
        <f t="shared" si="2"/>
        <v>45412</v>
      </c>
      <c r="V4">
        <v>0</v>
      </c>
      <c r="W4" t="str" cm="1">
        <f t="array" ref="W4:W30">_xlfn._xlws.FILTER(H2:H100,O2:O100="North")</f>
        <v>Kathleen Bennett</v>
      </c>
      <c r="X4" s="20" t="str">
        <v>TRX0044</v>
      </c>
      <c r="Y4" s="20">
        <v>45459</v>
      </c>
      <c r="Z4" s="20" t="str">
        <v>CUST029</v>
      </c>
      <c r="AA4" s="20" t="str">
        <v>Edward Mitchell</v>
      </c>
      <c r="AB4" s="20" t="str">
        <v>P001</v>
      </c>
      <c r="AC4" s="20" t="str">
        <v>Laptop</v>
      </c>
      <c r="AD4" s="20" t="str">
        <v>Electronics</v>
      </c>
      <c r="AE4" s="20">
        <v>5</v>
      </c>
      <c r="AF4" s="20">
        <v>899.99</v>
      </c>
      <c r="AG4" s="20" t="str">
        <v>PayPal</v>
      </c>
      <c r="AH4" s="20" t="str">
        <v>East</v>
      </c>
      <c r="AI4" s="20" t="str">
        <v>Premium</v>
      </c>
      <c r="AJ4" s="20">
        <v>45278</v>
      </c>
      <c r="AK4" s="20">
        <v>4499.95</v>
      </c>
    </row>
    <row r="5" spans="5:37" ht="14.4" x14ac:dyDescent="0.3">
      <c r="E5" s="4" t="s">
        <v>37</v>
      </c>
      <c r="F5" s="5">
        <v>45400</v>
      </c>
      <c r="G5" s="4" t="s">
        <v>38</v>
      </c>
      <c r="H5" s="4" t="s">
        <v>39</v>
      </c>
      <c r="I5" s="4" t="s">
        <v>31</v>
      </c>
      <c r="J5" s="4" t="s">
        <v>32</v>
      </c>
      <c r="K5" s="4" t="s">
        <v>33</v>
      </c>
      <c r="L5" s="4">
        <v>3</v>
      </c>
      <c r="M5" s="4">
        <v>60</v>
      </c>
      <c r="N5" s="4" t="s">
        <v>20</v>
      </c>
      <c r="O5" s="4" t="s">
        <v>40</v>
      </c>
      <c r="P5" s="4" t="s">
        <v>27</v>
      </c>
      <c r="Q5" s="5">
        <v>45114</v>
      </c>
      <c r="R5" s="4">
        <v>179.97</v>
      </c>
      <c r="S5" s="12">
        <f t="shared" ca="1" si="0"/>
        <v>46038.591457291666</v>
      </c>
      <c r="T5" s="13">
        <f t="shared" ca="1" si="1"/>
        <v>46038</v>
      </c>
      <c r="U5" s="13">
        <f t="shared" si="2"/>
        <v>45412</v>
      </c>
      <c r="V5">
        <v>0</v>
      </c>
      <c r="W5" t="str">
        <v>Michael Brown</v>
      </c>
      <c r="X5" s="20" t="str">
        <v>TRX0104</v>
      </c>
      <c r="Y5" s="20">
        <v>45471</v>
      </c>
      <c r="Z5" s="20" t="str">
        <v>CUST012</v>
      </c>
      <c r="AA5" s="20" t="str">
        <v>Patricia Moore</v>
      </c>
      <c r="AB5" s="20" t="str">
        <v>P001</v>
      </c>
      <c r="AC5" s="20" t="str">
        <v>Laptop</v>
      </c>
      <c r="AD5" s="20" t="str">
        <v>Electronics</v>
      </c>
      <c r="AE5" s="20">
        <v>4</v>
      </c>
      <c r="AF5" s="20">
        <v>899.99</v>
      </c>
      <c r="AG5" s="20" t="str">
        <v>Credit Card</v>
      </c>
      <c r="AH5" s="20" t="str">
        <v>East</v>
      </c>
      <c r="AI5" s="20" t="str">
        <v>Premium</v>
      </c>
      <c r="AJ5" s="20">
        <v>44993</v>
      </c>
      <c r="AK5" s="20">
        <v>3599.96</v>
      </c>
    </row>
    <row r="6" spans="5:37" ht="14.4" x14ac:dyDescent="0.3">
      <c r="E6" s="4" t="s">
        <v>41</v>
      </c>
      <c r="F6" s="5">
        <v>45400</v>
      </c>
      <c r="G6" s="4" t="s">
        <v>42</v>
      </c>
      <c r="H6" s="4" t="s">
        <v>43</v>
      </c>
      <c r="I6" s="4" t="s">
        <v>44</v>
      </c>
      <c r="J6" s="4" t="s">
        <v>45</v>
      </c>
      <c r="K6" s="4" t="s">
        <v>46</v>
      </c>
      <c r="L6" s="4">
        <v>5</v>
      </c>
      <c r="M6" s="4">
        <v>150</v>
      </c>
      <c r="N6" s="4" t="s">
        <v>26</v>
      </c>
      <c r="O6" s="4" t="s">
        <v>40</v>
      </c>
      <c r="P6" s="4" t="s">
        <v>27</v>
      </c>
      <c r="Q6" s="5">
        <v>45295</v>
      </c>
      <c r="R6" s="4">
        <v>749.95</v>
      </c>
      <c r="S6" s="12">
        <f t="shared" ca="1" si="0"/>
        <v>46038.591457291666</v>
      </c>
      <c r="T6" s="13">
        <f t="shared" ca="1" si="1"/>
        <v>46038</v>
      </c>
      <c r="U6" s="13">
        <f t="shared" si="2"/>
        <v>45412</v>
      </c>
      <c r="V6">
        <v>0</v>
      </c>
      <c r="W6" t="str">
        <v>Kathleen Bennett</v>
      </c>
      <c r="X6" s="20" t="str">
        <v>TRX0207</v>
      </c>
      <c r="Y6" s="20">
        <v>45657</v>
      </c>
      <c r="Z6" s="20" t="str">
        <v>CUST025</v>
      </c>
      <c r="AA6" s="20" t="str">
        <v>Mark Carter</v>
      </c>
      <c r="AB6" s="20" t="str">
        <v>P001</v>
      </c>
      <c r="AC6" s="20" t="str">
        <v>Laptop</v>
      </c>
      <c r="AD6" s="20" t="str">
        <v>Electronics</v>
      </c>
      <c r="AE6" s="20">
        <v>1</v>
      </c>
      <c r="AF6" s="20">
        <v>899.99</v>
      </c>
      <c r="AG6" s="20" t="str">
        <v>PayPal</v>
      </c>
      <c r="AH6" s="20" t="str">
        <v>North</v>
      </c>
      <c r="AI6" s="20" t="str">
        <v>Premium</v>
      </c>
      <c r="AJ6" s="20">
        <v>45050</v>
      </c>
      <c r="AK6" s="20">
        <v>899.99</v>
      </c>
    </row>
    <row r="7" spans="5:37" ht="14.4" x14ac:dyDescent="0.3">
      <c r="E7" s="4" t="s">
        <v>47</v>
      </c>
      <c r="F7" s="5">
        <v>45403</v>
      </c>
      <c r="G7" s="4" t="s">
        <v>48</v>
      </c>
      <c r="H7" s="4" t="s">
        <v>49</v>
      </c>
      <c r="I7" s="4" t="s">
        <v>31</v>
      </c>
      <c r="J7" s="4" t="s">
        <v>32</v>
      </c>
      <c r="K7" s="4" t="s">
        <v>33</v>
      </c>
      <c r="L7" s="4">
        <v>2</v>
      </c>
      <c r="M7" s="4">
        <v>60</v>
      </c>
      <c r="N7" s="4" t="s">
        <v>20</v>
      </c>
      <c r="O7" s="4" t="s">
        <v>50</v>
      </c>
      <c r="P7" s="4" t="s">
        <v>36</v>
      </c>
      <c r="Q7" s="5">
        <v>44746</v>
      </c>
      <c r="R7" s="4">
        <v>119.98</v>
      </c>
      <c r="S7" s="12">
        <f t="shared" ca="1" si="0"/>
        <v>46038.591457291666</v>
      </c>
      <c r="T7" s="13">
        <f t="shared" ca="1" si="1"/>
        <v>46038</v>
      </c>
      <c r="U7" s="13">
        <f t="shared" si="2"/>
        <v>45412</v>
      </c>
      <c r="V7">
        <v>1</v>
      </c>
      <c r="W7" t="str">
        <v>Peter Richardson</v>
      </c>
      <c r="X7" s="20" t="str">
        <v>TRX0016</v>
      </c>
      <c r="Y7" s="20">
        <v>45724</v>
      </c>
      <c r="Z7" s="20" t="str">
        <v>CUST035</v>
      </c>
      <c r="AA7" s="20" t="str">
        <v>Harry Morgan</v>
      </c>
      <c r="AB7" s="20" t="str">
        <v>P001</v>
      </c>
      <c r="AC7" s="20" t="str">
        <v>Laptop</v>
      </c>
      <c r="AD7" s="20" t="str">
        <v>Electronics</v>
      </c>
      <c r="AE7" s="20">
        <v>5</v>
      </c>
      <c r="AF7" s="20">
        <v>899.99</v>
      </c>
      <c r="AG7" s="20" t="str">
        <v>PayPal</v>
      </c>
      <c r="AH7" s="20" t="str">
        <v>East</v>
      </c>
      <c r="AI7" s="20" t="str">
        <v>Premium</v>
      </c>
      <c r="AJ7" s="20">
        <v>45389</v>
      </c>
      <c r="AK7" s="20">
        <v>4499.95</v>
      </c>
    </row>
    <row r="8" spans="5:37" ht="14.4" x14ac:dyDescent="0.3">
      <c r="E8" s="4" t="s">
        <v>51</v>
      </c>
      <c r="F8" s="5">
        <v>45403</v>
      </c>
      <c r="G8" s="4" t="s">
        <v>48</v>
      </c>
      <c r="H8" s="4" t="s">
        <v>49</v>
      </c>
      <c r="I8" s="4" t="s">
        <v>52</v>
      </c>
      <c r="J8" s="4" t="s">
        <v>53</v>
      </c>
      <c r="K8" s="4" t="s">
        <v>19</v>
      </c>
      <c r="L8" s="4">
        <v>5</v>
      </c>
      <c r="M8" s="4">
        <v>149.99</v>
      </c>
      <c r="N8" s="4" t="s">
        <v>26</v>
      </c>
      <c r="O8" s="4" t="s">
        <v>21</v>
      </c>
      <c r="P8" s="4" t="s">
        <v>36</v>
      </c>
      <c r="Q8" s="5">
        <v>44418</v>
      </c>
      <c r="R8" s="4">
        <v>749.95</v>
      </c>
      <c r="S8" s="12">
        <f t="shared" ca="1" si="0"/>
        <v>46038.591457291666</v>
      </c>
      <c r="T8" s="13">
        <f t="shared" ca="1" si="1"/>
        <v>46038</v>
      </c>
      <c r="U8" s="13">
        <f t="shared" si="2"/>
        <v>45412</v>
      </c>
      <c r="V8">
        <v>2</v>
      </c>
      <c r="W8" t="str">
        <v>Dennis Gray</v>
      </c>
      <c r="X8" s="20" t="str">
        <v>TRX0124</v>
      </c>
      <c r="Y8" s="20">
        <v>45737</v>
      </c>
      <c r="Z8" s="20" t="str">
        <v>CUST040</v>
      </c>
      <c r="AA8" s="20" t="str">
        <v>Sharon Butler</v>
      </c>
      <c r="AB8" s="20" t="str">
        <v>P001</v>
      </c>
      <c r="AC8" s="20" t="str">
        <v>Laptop</v>
      </c>
      <c r="AD8" s="20" t="str">
        <v>Electronics</v>
      </c>
      <c r="AE8" s="20">
        <v>3</v>
      </c>
      <c r="AF8" s="20">
        <v>899.99</v>
      </c>
      <c r="AG8" s="20" t="str">
        <v>Debit Card</v>
      </c>
      <c r="AH8" s="20" t="str">
        <v>North</v>
      </c>
      <c r="AI8" s="20" t="str">
        <v>Premium</v>
      </c>
      <c r="AJ8" s="20">
        <v>44876</v>
      </c>
      <c r="AK8" s="20">
        <v>2699.97</v>
      </c>
    </row>
    <row r="9" spans="5:37" ht="14.4" x14ac:dyDescent="0.3">
      <c r="E9" s="4" t="s">
        <v>54</v>
      </c>
      <c r="F9" s="5">
        <v>45403</v>
      </c>
      <c r="G9" s="4" t="s">
        <v>55</v>
      </c>
      <c r="H9" s="4" t="s">
        <v>56</v>
      </c>
      <c r="I9" s="4" t="s">
        <v>31</v>
      </c>
      <c r="J9" s="4" t="s">
        <v>32</v>
      </c>
      <c r="K9" s="4" t="s">
        <v>33</v>
      </c>
      <c r="L9" s="4">
        <v>3</v>
      </c>
      <c r="M9" s="4">
        <v>59.99</v>
      </c>
      <c r="N9" s="4" t="s">
        <v>57</v>
      </c>
      <c r="O9" s="4" t="s">
        <v>35</v>
      </c>
      <c r="P9" s="4" t="s">
        <v>22</v>
      </c>
      <c r="Q9" s="5">
        <v>45007</v>
      </c>
      <c r="R9" s="4">
        <v>179.97</v>
      </c>
      <c r="S9" s="12">
        <f t="shared" ca="1" si="0"/>
        <v>46038.591457291666</v>
      </c>
      <c r="T9" s="13">
        <f t="shared" ca="1" si="1"/>
        <v>46038</v>
      </c>
      <c r="U9" s="13">
        <f t="shared" si="2"/>
        <v>45412</v>
      </c>
      <c r="V9">
        <v>1</v>
      </c>
      <c r="W9" t="str">
        <v>George Adams</v>
      </c>
    </row>
    <row r="10" spans="5:37" ht="14.4" x14ac:dyDescent="0.3">
      <c r="E10" s="4" t="s">
        <v>58</v>
      </c>
      <c r="F10" s="5">
        <v>45405</v>
      </c>
      <c r="G10" s="4" t="s">
        <v>59</v>
      </c>
      <c r="H10" s="4" t="s">
        <v>60</v>
      </c>
      <c r="I10" s="4" t="s">
        <v>61</v>
      </c>
      <c r="J10" s="4" t="s">
        <v>62</v>
      </c>
      <c r="K10" s="4" t="s">
        <v>19</v>
      </c>
      <c r="L10" s="4">
        <v>3</v>
      </c>
      <c r="M10" s="4">
        <v>899.99</v>
      </c>
      <c r="N10" s="4" t="s">
        <v>34</v>
      </c>
      <c r="O10" s="4" t="s">
        <v>63</v>
      </c>
      <c r="P10" s="4" t="s">
        <v>36</v>
      </c>
      <c r="Q10" s="5">
        <v>45299</v>
      </c>
      <c r="R10" s="4">
        <v>2699.97</v>
      </c>
      <c r="S10" s="12">
        <f t="shared" ca="1" si="0"/>
        <v>46038.591457291666</v>
      </c>
      <c r="T10" s="13">
        <f t="shared" ca="1" si="1"/>
        <v>46038</v>
      </c>
      <c r="U10" s="13">
        <f t="shared" si="2"/>
        <v>45412</v>
      </c>
      <c r="V10">
        <v>0</v>
      </c>
      <c r="W10" t="str">
        <v>Mark Carter</v>
      </c>
      <c r="X10" s="24" t="s">
        <v>431</v>
      </c>
      <c r="Y10" s="22">
        <f>SUM(R2:R251)</f>
        <v>229192.47000000032</v>
      </c>
    </row>
    <row r="11" spans="5:37" ht="14.4" x14ac:dyDescent="0.3">
      <c r="E11" s="4" t="s">
        <v>64</v>
      </c>
      <c r="F11" s="5">
        <v>45408</v>
      </c>
      <c r="G11" s="4" t="s">
        <v>65</v>
      </c>
      <c r="H11" s="4" t="s">
        <v>66</v>
      </c>
      <c r="I11" s="4" t="s">
        <v>31</v>
      </c>
      <c r="J11" s="4" t="s">
        <v>32</v>
      </c>
      <c r="K11" s="4" t="s">
        <v>33</v>
      </c>
      <c r="L11" s="4">
        <v>3</v>
      </c>
      <c r="M11" s="4">
        <v>59.99</v>
      </c>
      <c r="N11" s="4" t="s">
        <v>20</v>
      </c>
      <c r="O11" s="4" t="s">
        <v>50</v>
      </c>
      <c r="P11" s="4" t="s">
        <v>27</v>
      </c>
      <c r="Q11" s="5">
        <v>45207</v>
      </c>
      <c r="R11" s="4">
        <v>179.97</v>
      </c>
      <c r="S11" s="12">
        <f t="shared" ca="1" si="0"/>
        <v>46038.591457291666</v>
      </c>
      <c r="T11" s="13">
        <f t="shared" ca="1" si="1"/>
        <v>46038</v>
      </c>
      <c r="U11" s="13">
        <f t="shared" si="2"/>
        <v>45412</v>
      </c>
      <c r="V11">
        <v>0</v>
      </c>
      <c r="W11" t="str">
        <v>Maria Garcia</v>
      </c>
    </row>
    <row r="12" spans="5:37" ht="14.4" x14ac:dyDescent="0.3">
      <c r="E12" s="4" t="s">
        <v>67</v>
      </c>
      <c r="F12" s="5">
        <v>45408</v>
      </c>
      <c r="G12" s="4" t="s">
        <v>68</v>
      </c>
      <c r="H12" s="4" t="s">
        <v>69</v>
      </c>
      <c r="I12" s="4" t="s">
        <v>44</v>
      </c>
      <c r="J12" s="4" t="s">
        <v>45</v>
      </c>
      <c r="K12" s="4" t="s">
        <v>46</v>
      </c>
      <c r="L12" s="4">
        <v>1</v>
      </c>
      <c r="M12" s="4">
        <v>149.99</v>
      </c>
      <c r="N12" s="4" t="s">
        <v>26</v>
      </c>
      <c r="O12" s="4" t="s">
        <v>50</v>
      </c>
      <c r="P12" s="4" t="s">
        <v>36</v>
      </c>
      <c r="Q12" s="5">
        <v>45103</v>
      </c>
      <c r="R12" s="4">
        <v>149.99</v>
      </c>
      <c r="S12" s="12">
        <f t="shared" ca="1" si="0"/>
        <v>46038.591457291666</v>
      </c>
      <c r="T12" s="13">
        <f t="shared" ca="1" si="1"/>
        <v>46038</v>
      </c>
      <c r="U12" s="13">
        <f t="shared" si="2"/>
        <v>45412</v>
      </c>
      <c r="V12">
        <v>0</v>
      </c>
      <c r="W12" t="str">
        <v>Virginia Sanders</v>
      </c>
      <c r="X12" s="21" t="s">
        <v>432</v>
      </c>
      <c r="Y12" s="22" t="str" cm="1">
        <f t="array" ref="Y12">INDEX(J2:J251,MATCH(MAX(COUNTIF(J2:J251,J2:J251)),COUNTIF(J2:J251,J2:J251),0))</f>
        <v>Bookshelf</v>
      </c>
      <c r="Z12" s="23">
        <f>COUNTIF(J2:J251,"Bookshelf")</f>
        <v>35</v>
      </c>
    </row>
    <row r="13" spans="5:37" ht="14.4" x14ac:dyDescent="0.3">
      <c r="E13" s="4" t="s">
        <v>70</v>
      </c>
      <c r="F13" s="5">
        <v>45408</v>
      </c>
      <c r="G13" s="4" t="s">
        <v>38</v>
      </c>
      <c r="H13" s="4" t="s">
        <v>39</v>
      </c>
      <c r="I13" s="4" t="s">
        <v>44</v>
      </c>
      <c r="J13" s="4" t="s">
        <v>45</v>
      </c>
      <c r="K13" s="4" t="s">
        <v>46</v>
      </c>
      <c r="L13" s="4">
        <v>5</v>
      </c>
      <c r="M13" s="4">
        <v>149.99</v>
      </c>
      <c r="N13" s="4" t="s">
        <v>57</v>
      </c>
      <c r="O13" s="4" t="s">
        <v>40</v>
      </c>
      <c r="P13" s="4" t="s">
        <v>22</v>
      </c>
      <c r="Q13" s="5">
        <v>44830</v>
      </c>
      <c r="R13" s="4">
        <v>749.95</v>
      </c>
      <c r="S13" s="12">
        <f t="shared" ca="1" si="0"/>
        <v>46038.591457291666</v>
      </c>
      <c r="T13" s="13">
        <f t="shared" ca="1" si="1"/>
        <v>46038</v>
      </c>
      <c r="U13" s="13">
        <f t="shared" si="2"/>
        <v>45412</v>
      </c>
      <c r="V13">
        <v>1</v>
      </c>
      <c r="W13" t="str">
        <v>Cynthia Price</v>
      </c>
    </row>
    <row r="14" spans="5:37" ht="14.4" x14ac:dyDescent="0.3">
      <c r="E14" s="4" t="s">
        <v>71</v>
      </c>
      <c r="F14" s="5">
        <v>45408</v>
      </c>
      <c r="G14" s="4" t="s">
        <v>72</v>
      </c>
      <c r="H14" s="4" t="s">
        <v>73</v>
      </c>
      <c r="I14" s="4" t="s">
        <v>44</v>
      </c>
      <c r="J14" s="4" t="s">
        <v>45</v>
      </c>
      <c r="K14" s="4" t="s">
        <v>46</v>
      </c>
      <c r="L14" s="4">
        <v>3</v>
      </c>
      <c r="M14" s="4">
        <v>149.99</v>
      </c>
      <c r="N14" s="4" t="s">
        <v>20</v>
      </c>
      <c r="O14" s="4" t="s">
        <v>40</v>
      </c>
      <c r="P14" s="4" t="s">
        <v>27</v>
      </c>
      <c r="Q14" s="5">
        <v>44806</v>
      </c>
      <c r="R14" s="4">
        <v>449.97</v>
      </c>
      <c r="S14" s="12">
        <f t="shared" ca="1" si="0"/>
        <v>46038.591457291666</v>
      </c>
      <c r="T14" s="13">
        <f t="shared" ca="1" si="1"/>
        <v>46038</v>
      </c>
      <c r="U14" s="13">
        <f t="shared" si="2"/>
        <v>45412</v>
      </c>
      <c r="V14">
        <v>1</v>
      </c>
      <c r="W14" t="str">
        <v>Patricia Moore</v>
      </c>
    </row>
    <row r="15" spans="5:37" ht="14.4" x14ac:dyDescent="0.3">
      <c r="E15" s="4" t="s">
        <v>74</v>
      </c>
      <c r="F15" s="5">
        <v>45409</v>
      </c>
      <c r="G15" s="4" t="s">
        <v>75</v>
      </c>
      <c r="H15" s="4" t="s">
        <v>76</v>
      </c>
      <c r="I15" s="4" t="s">
        <v>31</v>
      </c>
      <c r="J15" s="4" t="s">
        <v>32</v>
      </c>
      <c r="K15" s="4" t="s">
        <v>33</v>
      </c>
      <c r="L15" s="4">
        <v>3</v>
      </c>
      <c r="M15" s="4">
        <v>59.99</v>
      </c>
      <c r="N15" s="4" t="s">
        <v>26</v>
      </c>
      <c r="O15" s="4" t="s">
        <v>40</v>
      </c>
      <c r="P15" s="4" t="s">
        <v>36</v>
      </c>
      <c r="Q15" s="5">
        <v>45351</v>
      </c>
      <c r="R15" s="4">
        <v>179.97</v>
      </c>
      <c r="S15" s="12">
        <f t="shared" ca="1" si="0"/>
        <v>46038.591457291666</v>
      </c>
      <c r="T15" s="13">
        <f t="shared" ca="1" si="1"/>
        <v>46038</v>
      </c>
      <c r="U15" s="13">
        <f t="shared" si="2"/>
        <v>45412</v>
      </c>
      <c r="V15">
        <v>0</v>
      </c>
      <c r="W15" t="str">
        <v>Steven Turner</v>
      </c>
    </row>
    <row r="16" spans="5:37" ht="14.4" x14ac:dyDescent="0.3">
      <c r="E16" s="4" t="s">
        <v>77</v>
      </c>
      <c r="F16" s="5">
        <v>45409</v>
      </c>
      <c r="G16" s="4" t="s">
        <v>78</v>
      </c>
      <c r="H16" s="4" t="s">
        <v>79</v>
      </c>
      <c r="I16" s="4" t="s">
        <v>80</v>
      </c>
      <c r="J16" s="4" t="s">
        <v>81</v>
      </c>
      <c r="K16" s="4" t="s">
        <v>19</v>
      </c>
      <c r="L16" s="4">
        <v>3</v>
      </c>
      <c r="M16" s="4">
        <v>699.99</v>
      </c>
      <c r="N16" s="4" t="s">
        <v>26</v>
      </c>
      <c r="O16" s="4" t="s">
        <v>50</v>
      </c>
      <c r="P16" s="4" t="s">
        <v>22</v>
      </c>
      <c r="Q16" s="5">
        <v>44577</v>
      </c>
      <c r="R16" s="4">
        <v>2099.9699999999998</v>
      </c>
      <c r="S16" s="12">
        <f t="shared" ca="1" si="0"/>
        <v>46038.591457291666</v>
      </c>
      <c r="T16" s="13">
        <f t="shared" ca="1" si="1"/>
        <v>46038</v>
      </c>
      <c r="U16" s="13">
        <f t="shared" si="2"/>
        <v>45412</v>
      </c>
      <c r="V16">
        <v>2</v>
      </c>
      <c r="W16" t="str">
        <v>Daniel King</v>
      </c>
    </row>
    <row r="17" spans="5:23" ht="14.4" x14ac:dyDescent="0.3">
      <c r="E17" s="4" t="s">
        <v>82</v>
      </c>
      <c r="F17" s="5">
        <v>45409</v>
      </c>
      <c r="G17" s="4" t="s">
        <v>83</v>
      </c>
      <c r="H17" s="4" t="s">
        <v>84</v>
      </c>
      <c r="I17" s="4" t="s">
        <v>61</v>
      </c>
      <c r="J17" s="4" t="s">
        <v>62</v>
      </c>
      <c r="K17" s="4" t="s">
        <v>19</v>
      </c>
      <c r="L17" s="4">
        <v>1</v>
      </c>
      <c r="M17" s="4">
        <v>899.99</v>
      </c>
      <c r="N17" s="4" t="s">
        <v>57</v>
      </c>
      <c r="O17" s="4" t="s">
        <v>40</v>
      </c>
      <c r="P17" s="4" t="s">
        <v>36</v>
      </c>
      <c r="Q17" s="5">
        <v>44920</v>
      </c>
      <c r="R17" s="4">
        <v>899.99</v>
      </c>
      <c r="S17" s="12">
        <f t="shared" ca="1" si="0"/>
        <v>46038.591457291666</v>
      </c>
      <c r="T17" s="13">
        <f t="shared" ca="1" si="1"/>
        <v>46038</v>
      </c>
      <c r="U17" s="13">
        <f t="shared" si="2"/>
        <v>45412</v>
      </c>
      <c r="V17">
        <v>1</v>
      </c>
      <c r="W17" t="str">
        <v>Charles Allen</v>
      </c>
    </row>
    <row r="18" spans="5:23" ht="14.4" x14ac:dyDescent="0.3">
      <c r="E18" s="4" t="s">
        <v>85</v>
      </c>
      <c r="F18" s="5">
        <v>45410</v>
      </c>
      <c r="G18" s="4" t="s">
        <v>86</v>
      </c>
      <c r="H18" s="4" t="s">
        <v>87</v>
      </c>
      <c r="I18" s="4" t="s">
        <v>44</v>
      </c>
      <c r="J18" s="4" t="s">
        <v>45</v>
      </c>
      <c r="K18" s="4" t="s">
        <v>46</v>
      </c>
      <c r="L18" s="4">
        <v>4</v>
      </c>
      <c r="M18" s="4">
        <v>149.99</v>
      </c>
      <c r="N18" s="4" t="s">
        <v>57</v>
      </c>
      <c r="O18" s="4" t="s">
        <v>40</v>
      </c>
      <c r="P18" s="4" t="s">
        <v>27</v>
      </c>
      <c r="Q18" s="5">
        <v>45374</v>
      </c>
      <c r="R18" s="4">
        <v>599.96</v>
      </c>
      <c r="S18" s="12">
        <f t="shared" ca="1" si="0"/>
        <v>46038.591457291666</v>
      </c>
      <c r="T18" s="13">
        <f t="shared" ca="1" si="1"/>
        <v>46038</v>
      </c>
      <c r="U18" s="13">
        <f t="shared" si="2"/>
        <v>45412</v>
      </c>
      <c r="V18">
        <v>0</v>
      </c>
      <c r="W18" t="str">
        <v>Margaret Wright</v>
      </c>
    </row>
    <row r="19" spans="5:23" ht="14.4" x14ac:dyDescent="0.3">
      <c r="E19" s="4" t="s">
        <v>88</v>
      </c>
      <c r="F19" s="5">
        <v>45410</v>
      </c>
      <c r="G19" s="4" t="s">
        <v>89</v>
      </c>
      <c r="H19" s="4" t="s">
        <v>90</v>
      </c>
      <c r="I19" s="4" t="s">
        <v>80</v>
      </c>
      <c r="J19" s="4" t="s">
        <v>81</v>
      </c>
      <c r="K19" s="4" t="s">
        <v>19</v>
      </c>
      <c r="L19" s="4">
        <v>2</v>
      </c>
      <c r="M19" s="4">
        <v>699.99</v>
      </c>
      <c r="N19" s="4" t="s">
        <v>20</v>
      </c>
      <c r="O19" s="4" t="s">
        <v>40</v>
      </c>
      <c r="P19" s="4" t="s">
        <v>22</v>
      </c>
      <c r="Q19" s="5">
        <v>44781</v>
      </c>
      <c r="R19" s="4">
        <v>1399.98</v>
      </c>
      <c r="S19" s="12">
        <f t="shared" ca="1" si="0"/>
        <v>46038.591457291666</v>
      </c>
      <c r="T19" s="13">
        <f t="shared" ca="1" si="1"/>
        <v>46038</v>
      </c>
      <c r="U19" s="13">
        <f t="shared" si="2"/>
        <v>45412</v>
      </c>
      <c r="V19">
        <v>1</v>
      </c>
      <c r="W19" t="str">
        <v>Barbara Young</v>
      </c>
    </row>
    <row r="20" spans="5:23" ht="14.4" x14ac:dyDescent="0.3">
      <c r="E20" s="4" t="s">
        <v>91</v>
      </c>
      <c r="F20" s="5">
        <v>45410</v>
      </c>
      <c r="G20" s="4" t="s">
        <v>86</v>
      </c>
      <c r="H20" s="4" t="s">
        <v>87</v>
      </c>
      <c r="I20" s="4" t="s">
        <v>61</v>
      </c>
      <c r="J20" s="4" t="s">
        <v>62</v>
      </c>
      <c r="K20" s="4" t="s">
        <v>19</v>
      </c>
      <c r="L20" s="4">
        <v>4</v>
      </c>
      <c r="M20" s="4">
        <v>899.99</v>
      </c>
      <c r="N20" s="4" t="s">
        <v>26</v>
      </c>
      <c r="O20" s="4" t="s">
        <v>50</v>
      </c>
      <c r="P20" s="4" t="s">
        <v>36</v>
      </c>
      <c r="Q20" s="5">
        <v>45327</v>
      </c>
      <c r="R20" s="4">
        <v>3599.96</v>
      </c>
      <c r="S20" s="12">
        <f t="shared" ca="1" si="0"/>
        <v>46038.591457291666</v>
      </c>
      <c r="T20" s="13">
        <f t="shared" ca="1" si="1"/>
        <v>46038</v>
      </c>
      <c r="U20" s="13">
        <f t="shared" si="2"/>
        <v>45412</v>
      </c>
      <c r="V20">
        <v>0</v>
      </c>
      <c r="W20" t="str">
        <v>Frank Torres</v>
      </c>
    </row>
    <row r="21" spans="5:23" ht="15.75" customHeight="1" x14ac:dyDescent="0.3">
      <c r="E21" s="4" t="s">
        <v>92</v>
      </c>
      <c r="F21" s="5">
        <v>45410</v>
      </c>
      <c r="G21" s="4" t="s">
        <v>93</v>
      </c>
      <c r="H21" s="4" t="s">
        <v>94</v>
      </c>
      <c r="I21" s="4" t="s">
        <v>17</v>
      </c>
      <c r="J21" s="4" t="s">
        <v>18</v>
      </c>
      <c r="K21" s="4" t="s">
        <v>19</v>
      </c>
      <c r="L21" s="4">
        <v>3</v>
      </c>
      <c r="M21" s="4">
        <v>249.99</v>
      </c>
      <c r="N21" s="4" t="s">
        <v>26</v>
      </c>
      <c r="O21" s="4" t="s">
        <v>40</v>
      </c>
      <c r="P21" s="4" t="s">
        <v>27</v>
      </c>
      <c r="Q21" s="5">
        <v>45224</v>
      </c>
      <c r="R21" s="4">
        <v>749.97</v>
      </c>
      <c r="S21" s="12">
        <f t="shared" ca="1" si="0"/>
        <v>46038.591457291666</v>
      </c>
      <c r="T21" s="13">
        <f t="shared" ca="1" si="1"/>
        <v>46038</v>
      </c>
      <c r="U21" s="13">
        <f t="shared" si="2"/>
        <v>45412</v>
      </c>
      <c r="V21">
        <v>0</v>
      </c>
      <c r="W21" t="str">
        <v>Frank Torres</v>
      </c>
    </row>
    <row r="22" spans="5:23" ht="15.75" customHeight="1" x14ac:dyDescent="0.3">
      <c r="E22" s="4" t="s">
        <v>95</v>
      </c>
      <c r="F22" s="5">
        <v>45412</v>
      </c>
      <c r="G22" s="4" t="s">
        <v>96</v>
      </c>
      <c r="H22" s="4" t="s">
        <v>97</v>
      </c>
      <c r="I22" s="4" t="s">
        <v>80</v>
      </c>
      <c r="J22" s="4" t="s">
        <v>81</v>
      </c>
      <c r="K22" s="4" t="s">
        <v>19</v>
      </c>
      <c r="L22" s="4">
        <v>5</v>
      </c>
      <c r="M22" s="4">
        <v>699.99</v>
      </c>
      <c r="N22" s="4" t="s">
        <v>20</v>
      </c>
      <c r="O22" s="4" t="s">
        <v>50</v>
      </c>
      <c r="P22" s="4" t="s">
        <v>22</v>
      </c>
      <c r="Q22" s="5">
        <v>45167</v>
      </c>
      <c r="R22" s="4">
        <v>3499.95</v>
      </c>
      <c r="S22" s="12">
        <f t="shared" ca="1" si="0"/>
        <v>46038.591457291666</v>
      </c>
      <c r="T22" s="13">
        <f t="shared" ca="1" si="1"/>
        <v>46038</v>
      </c>
      <c r="U22" s="13">
        <f t="shared" si="2"/>
        <v>45412</v>
      </c>
      <c r="V22">
        <v>0</v>
      </c>
      <c r="W22" t="str">
        <v>Karen Hill</v>
      </c>
    </row>
    <row r="23" spans="5:23" ht="15.75" customHeight="1" x14ac:dyDescent="0.3">
      <c r="E23" s="4" t="s">
        <v>98</v>
      </c>
      <c r="F23" s="5">
        <v>45413</v>
      </c>
      <c r="G23" s="4" t="s">
        <v>99</v>
      </c>
      <c r="H23" s="4" t="s">
        <v>100</v>
      </c>
      <c r="I23" s="4" t="s">
        <v>80</v>
      </c>
      <c r="J23" s="4" t="s">
        <v>81</v>
      </c>
      <c r="K23" s="4" t="s">
        <v>19</v>
      </c>
      <c r="L23" s="4">
        <v>4</v>
      </c>
      <c r="M23" s="4">
        <v>699.99</v>
      </c>
      <c r="N23" s="4" t="s">
        <v>20</v>
      </c>
      <c r="O23" s="4" t="s">
        <v>63</v>
      </c>
      <c r="P23" s="4" t="s">
        <v>36</v>
      </c>
      <c r="Q23" s="5">
        <v>44409</v>
      </c>
      <c r="R23" s="4">
        <v>2799.96</v>
      </c>
      <c r="S23" s="12">
        <f t="shared" ca="1" si="0"/>
        <v>46038.591457291666</v>
      </c>
      <c r="T23" s="13">
        <f t="shared" ca="1" si="1"/>
        <v>46038</v>
      </c>
      <c r="U23" s="13">
        <f t="shared" si="2"/>
        <v>45443</v>
      </c>
      <c r="V23">
        <v>2</v>
      </c>
      <c r="W23" t="str">
        <v>David Martinez</v>
      </c>
    </row>
    <row r="24" spans="5:23" ht="15.75" customHeight="1" x14ac:dyDescent="0.3">
      <c r="E24" s="4" t="s">
        <v>101</v>
      </c>
      <c r="F24" s="5">
        <v>45415</v>
      </c>
      <c r="G24" s="4" t="s">
        <v>102</v>
      </c>
      <c r="H24" s="4" t="s">
        <v>103</v>
      </c>
      <c r="I24" s="4" t="s">
        <v>17</v>
      </c>
      <c r="J24" s="4" t="s">
        <v>18</v>
      </c>
      <c r="K24" s="4" t="s">
        <v>19</v>
      </c>
      <c r="L24" s="4">
        <v>4</v>
      </c>
      <c r="M24" s="4">
        <v>249.99</v>
      </c>
      <c r="N24" s="4" t="s">
        <v>34</v>
      </c>
      <c r="O24" s="4" t="s">
        <v>40</v>
      </c>
      <c r="P24" s="4" t="s">
        <v>36</v>
      </c>
      <c r="Q24" s="5">
        <v>44468</v>
      </c>
      <c r="R24" s="4">
        <v>999.96</v>
      </c>
      <c r="S24" s="12">
        <f t="shared" ca="1" si="0"/>
        <v>46038.591457291666</v>
      </c>
      <c r="T24" s="13">
        <f t="shared" ca="1" si="1"/>
        <v>46038</v>
      </c>
      <c r="U24" s="13">
        <f t="shared" si="2"/>
        <v>45443</v>
      </c>
      <c r="V24">
        <v>2</v>
      </c>
      <c r="W24" t="str">
        <v>Barbara Young</v>
      </c>
    </row>
    <row r="25" spans="5:23" ht="15.75" customHeight="1" x14ac:dyDescent="0.3">
      <c r="E25" s="4" t="s">
        <v>104</v>
      </c>
      <c r="F25" s="5">
        <v>45416</v>
      </c>
      <c r="G25" s="4" t="s">
        <v>86</v>
      </c>
      <c r="H25" s="4" t="s">
        <v>87</v>
      </c>
      <c r="I25" s="4" t="s">
        <v>105</v>
      </c>
      <c r="J25" s="4" t="s">
        <v>106</v>
      </c>
      <c r="K25" s="4" t="s">
        <v>46</v>
      </c>
      <c r="L25" s="4">
        <v>4</v>
      </c>
      <c r="M25" s="4">
        <v>299.99</v>
      </c>
      <c r="N25" s="4" t="s">
        <v>20</v>
      </c>
      <c r="O25" s="4" t="s">
        <v>50</v>
      </c>
      <c r="P25" s="4" t="s">
        <v>27</v>
      </c>
      <c r="Q25" s="5">
        <v>44716</v>
      </c>
      <c r="R25" s="4">
        <v>1199.96</v>
      </c>
      <c r="S25" s="12">
        <f t="shared" ca="1" si="0"/>
        <v>46038.591457291666</v>
      </c>
      <c r="T25" s="13">
        <f t="shared" ca="1" si="1"/>
        <v>46038</v>
      </c>
      <c r="U25" s="13">
        <f t="shared" si="2"/>
        <v>45443</v>
      </c>
      <c r="V25">
        <v>1</v>
      </c>
      <c r="W25" t="str">
        <v>Mark Carter</v>
      </c>
    </row>
    <row r="26" spans="5:23" ht="15.75" customHeight="1" x14ac:dyDescent="0.3">
      <c r="E26" s="4" t="s">
        <v>107</v>
      </c>
      <c r="F26" s="5">
        <v>45422</v>
      </c>
      <c r="G26" s="4" t="s">
        <v>108</v>
      </c>
      <c r="H26" s="4" t="s">
        <v>109</v>
      </c>
      <c r="I26" s="4" t="s">
        <v>17</v>
      </c>
      <c r="J26" s="4" t="s">
        <v>18</v>
      </c>
      <c r="K26" s="4" t="s">
        <v>19</v>
      </c>
      <c r="L26" s="4">
        <v>5</v>
      </c>
      <c r="M26" s="4">
        <v>249.99</v>
      </c>
      <c r="N26" s="4" t="s">
        <v>26</v>
      </c>
      <c r="O26" s="4" t="s">
        <v>50</v>
      </c>
      <c r="P26" s="4" t="s">
        <v>36</v>
      </c>
      <c r="Q26" s="5">
        <v>44525</v>
      </c>
      <c r="R26" s="4">
        <v>1249.95</v>
      </c>
      <c r="S26" s="12">
        <f t="shared" ca="1" si="0"/>
        <v>46038.591457291666</v>
      </c>
      <c r="T26" s="13">
        <f t="shared" ca="1" si="1"/>
        <v>46038</v>
      </c>
      <c r="U26" s="13">
        <f t="shared" si="2"/>
        <v>45443</v>
      </c>
      <c r="V26">
        <v>2</v>
      </c>
      <c r="W26" t="str">
        <v>Maria Garcia</v>
      </c>
    </row>
    <row r="27" spans="5:23" ht="15.75" customHeight="1" x14ac:dyDescent="0.3">
      <c r="E27" s="4" t="s">
        <v>110</v>
      </c>
      <c r="F27" s="5">
        <v>45424</v>
      </c>
      <c r="G27" s="4" t="s">
        <v>68</v>
      </c>
      <c r="H27" s="4" t="s">
        <v>69</v>
      </c>
      <c r="I27" s="4" t="s">
        <v>105</v>
      </c>
      <c r="J27" s="4" t="s">
        <v>106</v>
      </c>
      <c r="K27" s="4" t="s">
        <v>46</v>
      </c>
      <c r="L27" s="4">
        <v>5</v>
      </c>
      <c r="M27" s="4">
        <v>299.99</v>
      </c>
      <c r="N27" s="4" t="s">
        <v>34</v>
      </c>
      <c r="O27" s="4" t="s">
        <v>63</v>
      </c>
      <c r="P27" s="4" t="s">
        <v>22</v>
      </c>
      <c r="Q27" s="5">
        <v>45168</v>
      </c>
      <c r="R27" s="4">
        <v>1499.95</v>
      </c>
      <c r="S27" s="12">
        <f t="shared" ca="1" si="0"/>
        <v>46038.591457291666</v>
      </c>
      <c r="T27" s="13">
        <f t="shared" ca="1" si="1"/>
        <v>46038</v>
      </c>
      <c r="U27" s="13">
        <f t="shared" si="2"/>
        <v>45443</v>
      </c>
      <c r="V27">
        <v>0</v>
      </c>
      <c r="W27" t="str">
        <v>Mark Carter</v>
      </c>
    </row>
    <row r="28" spans="5:23" ht="15.75" customHeight="1" x14ac:dyDescent="0.3">
      <c r="E28" s="4" t="s">
        <v>111</v>
      </c>
      <c r="F28" s="5">
        <v>45424</v>
      </c>
      <c r="G28" s="4" t="s">
        <v>112</v>
      </c>
      <c r="H28" s="4" t="s">
        <v>113</v>
      </c>
      <c r="I28" s="4" t="s">
        <v>114</v>
      </c>
      <c r="J28" s="4" t="s">
        <v>115</v>
      </c>
      <c r="K28" s="4" t="s">
        <v>33</v>
      </c>
      <c r="L28" s="4">
        <v>3</v>
      </c>
      <c r="M28" s="4">
        <v>79.989999999999995</v>
      </c>
      <c r="N28" s="4" t="s">
        <v>34</v>
      </c>
      <c r="O28" s="4" t="s">
        <v>63</v>
      </c>
      <c r="P28" s="4" t="s">
        <v>27</v>
      </c>
      <c r="Q28" s="5">
        <v>45012</v>
      </c>
      <c r="R28" s="4">
        <v>239.97</v>
      </c>
      <c r="S28" s="12">
        <f t="shared" ca="1" si="0"/>
        <v>46038.591457291666</v>
      </c>
      <c r="T28" s="13">
        <f t="shared" ca="1" si="1"/>
        <v>46038</v>
      </c>
      <c r="U28" s="13">
        <f t="shared" si="2"/>
        <v>45443</v>
      </c>
      <c r="V28">
        <v>1</v>
      </c>
      <c r="W28" t="str">
        <v>Karen Hill</v>
      </c>
    </row>
    <row r="29" spans="5:23" ht="15.75" customHeight="1" x14ac:dyDescent="0.3">
      <c r="E29" s="4" t="s">
        <v>116</v>
      </c>
      <c r="F29" s="5">
        <v>45424</v>
      </c>
      <c r="G29" s="4" t="s">
        <v>99</v>
      </c>
      <c r="H29" s="4" t="s">
        <v>100</v>
      </c>
      <c r="I29" s="4" t="s">
        <v>117</v>
      </c>
      <c r="J29" s="4" t="s">
        <v>118</v>
      </c>
      <c r="K29" s="4" t="s">
        <v>19</v>
      </c>
      <c r="L29" s="4">
        <v>5</v>
      </c>
      <c r="M29" s="4">
        <v>89.99</v>
      </c>
      <c r="N29" s="4" t="s">
        <v>20</v>
      </c>
      <c r="O29" s="4" t="s">
        <v>40</v>
      </c>
      <c r="P29" s="4" t="s">
        <v>27</v>
      </c>
      <c r="Q29" s="5">
        <v>44919</v>
      </c>
      <c r="R29" s="4">
        <v>449.95</v>
      </c>
      <c r="S29" s="12">
        <f t="shared" ca="1" si="0"/>
        <v>46038.591457291666</v>
      </c>
      <c r="T29" s="13">
        <f t="shared" ca="1" si="1"/>
        <v>46038</v>
      </c>
      <c r="U29" s="13">
        <f t="shared" si="2"/>
        <v>45443</v>
      </c>
      <c r="V29">
        <v>1</v>
      </c>
      <c r="W29" t="str">
        <v>Kathleen Bennett</v>
      </c>
    </row>
    <row r="30" spans="5:23" ht="15.75" customHeight="1" x14ac:dyDescent="0.3">
      <c r="E30" s="4" t="s">
        <v>119</v>
      </c>
      <c r="F30" s="5">
        <v>45425</v>
      </c>
      <c r="G30" s="4" t="s">
        <v>120</v>
      </c>
      <c r="H30" s="4" t="s">
        <v>121</v>
      </c>
      <c r="I30" s="4" t="s">
        <v>31</v>
      </c>
      <c r="J30" s="4" t="s">
        <v>32</v>
      </c>
      <c r="K30" s="4" t="s">
        <v>33</v>
      </c>
      <c r="L30" s="4">
        <v>2</v>
      </c>
      <c r="M30" s="4">
        <v>59.99</v>
      </c>
      <c r="N30" s="4" t="s">
        <v>57</v>
      </c>
      <c r="O30" s="4" t="s">
        <v>21</v>
      </c>
      <c r="P30" s="4" t="s">
        <v>36</v>
      </c>
      <c r="Q30" s="5">
        <v>45214</v>
      </c>
      <c r="R30" s="4">
        <v>119.98</v>
      </c>
      <c r="S30" s="12">
        <f t="shared" ca="1" si="0"/>
        <v>46038.591457291666</v>
      </c>
      <c r="T30" s="13">
        <f t="shared" ca="1" si="1"/>
        <v>46038</v>
      </c>
      <c r="U30" s="13">
        <f t="shared" si="2"/>
        <v>45443</v>
      </c>
      <c r="V30">
        <v>0</v>
      </c>
      <c r="W30" t="str">
        <v>Betty Campbell</v>
      </c>
    </row>
    <row r="31" spans="5:23" ht="15.75" customHeight="1" x14ac:dyDescent="0.3">
      <c r="E31" s="4" t="s">
        <v>122</v>
      </c>
      <c r="F31" s="5">
        <v>45427</v>
      </c>
      <c r="G31" s="4" t="s">
        <v>123</v>
      </c>
      <c r="H31" s="4" t="s">
        <v>124</v>
      </c>
      <c r="I31" s="4" t="s">
        <v>31</v>
      </c>
      <c r="J31" s="4" t="s">
        <v>32</v>
      </c>
      <c r="K31" s="4" t="s">
        <v>33</v>
      </c>
      <c r="L31" s="4">
        <v>4</v>
      </c>
      <c r="M31" s="4">
        <v>59.99</v>
      </c>
      <c r="N31" s="4" t="s">
        <v>57</v>
      </c>
      <c r="O31" s="4" t="s">
        <v>63</v>
      </c>
      <c r="P31" s="4" t="s">
        <v>36</v>
      </c>
      <c r="Q31" s="5">
        <v>44867</v>
      </c>
      <c r="R31" s="4">
        <v>239.96</v>
      </c>
      <c r="S31" s="12">
        <f t="shared" ca="1" si="0"/>
        <v>46038.591457291666</v>
      </c>
      <c r="T31" s="13">
        <f t="shared" ca="1" si="1"/>
        <v>46038</v>
      </c>
      <c r="U31" s="13">
        <f t="shared" si="2"/>
        <v>45443</v>
      </c>
      <c r="V31">
        <v>1</v>
      </c>
    </row>
    <row r="32" spans="5:23" ht="15.75" customHeight="1" x14ac:dyDescent="0.3">
      <c r="E32" s="4" t="s">
        <v>125</v>
      </c>
      <c r="F32" s="5">
        <v>45427</v>
      </c>
      <c r="G32" s="4" t="s">
        <v>55</v>
      </c>
      <c r="H32" s="4" t="s">
        <v>56</v>
      </c>
      <c r="I32" s="4" t="s">
        <v>126</v>
      </c>
      <c r="J32" s="4" t="s">
        <v>127</v>
      </c>
      <c r="K32" s="4" t="s">
        <v>46</v>
      </c>
      <c r="L32" s="4">
        <v>5</v>
      </c>
      <c r="M32" s="4">
        <v>199.99</v>
      </c>
      <c r="N32" s="4" t="s">
        <v>20</v>
      </c>
      <c r="O32" s="4" t="s">
        <v>35</v>
      </c>
      <c r="P32" s="4" t="s">
        <v>36</v>
      </c>
      <c r="Q32" s="5">
        <v>44412</v>
      </c>
      <c r="R32" s="4">
        <v>999.95</v>
      </c>
      <c r="S32" s="12">
        <f t="shared" ca="1" si="0"/>
        <v>46038.591457291666</v>
      </c>
      <c r="T32" s="13">
        <f t="shared" ca="1" si="1"/>
        <v>46038</v>
      </c>
      <c r="U32" s="13">
        <f t="shared" si="2"/>
        <v>45443</v>
      </c>
      <c r="V32">
        <v>2</v>
      </c>
    </row>
    <row r="33" spans="5:22" ht="15.75" customHeight="1" x14ac:dyDescent="0.3">
      <c r="E33" s="4" t="s">
        <v>128</v>
      </c>
      <c r="F33" s="5">
        <v>45428</v>
      </c>
      <c r="G33" s="4" t="s">
        <v>129</v>
      </c>
      <c r="H33" s="4" t="s">
        <v>130</v>
      </c>
      <c r="I33" s="4" t="s">
        <v>44</v>
      </c>
      <c r="J33" s="4" t="s">
        <v>45</v>
      </c>
      <c r="K33" s="4" t="s">
        <v>46</v>
      </c>
      <c r="L33" s="4">
        <v>2</v>
      </c>
      <c r="M33" s="4">
        <v>149.99</v>
      </c>
      <c r="N33" s="4" t="s">
        <v>26</v>
      </c>
      <c r="O33" s="4" t="s">
        <v>50</v>
      </c>
      <c r="P33" s="4" t="s">
        <v>22</v>
      </c>
      <c r="Q33" s="5">
        <v>44823</v>
      </c>
      <c r="R33" s="4">
        <v>299.98</v>
      </c>
      <c r="S33" s="12">
        <f t="shared" ca="1" si="0"/>
        <v>46038.591457291666</v>
      </c>
      <c r="T33" s="13">
        <f t="shared" ca="1" si="1"/>
        <v>46038</v>
      </c>
      <c r="U33" s="13">
        <f t="shared" si="2"/>
        <v>45443</v>
      </c>
      <c r="V33">
        <v>1</v>
      </c>
    </row>
    <row r="34" spans="5:22" ht="15.75" customHeight="1" x14ac:dyDescent="0.3">
      <c r="E34" s="4" t="s">
        <v>131</v>
      </c>
      <c r="F34" s="5">
        <v>45430</v>
      </c>
      <c r="G34" s="4" t="s">
        <v>132</v>
      </c>
      <c r="H34" s="4" t="s">
        <v>133</v>
      </c>
      <c r="I34" s="4" t="s">
        <v>44</v>
      </c>
      <c r="J34" s="4" t="s">
        <v>45</v>
      </c>
      <c r="K34" s="4" t="s">
        <v>46</v>
      </c>
      <c r="L34" s="4">
        <v>3</v>
      </c>
      <c r="M34" s="4">
        <v>149.99</v>
      </c>
      <c r="N34" s="4" t="s">
        <v>26</v>
      </c>
      <c r="O34" s="4" t="s">
        <v>50</v>
      </c>
      <c r="P34" s="4" t="s">
        <v>27</v>
      </c>
      <c r="Q34" s="5">
        <v>45068</v>
      </c>
      <c r="R34" s="4">
        <v>449.97</v>
      </c>
      <c r="S34" s="12">
        <f t="shared" ca="1" si="0"/>
        <v>46038.591457291666</v>
      </c>
      <c r="T34" s="13">
        <f t="shared" ca="1" si="1"/>
        <v>46038</v>
      </c>
      <c r="U34" s="13">
        <f t="shared" si="2"/>
        <v>45443</v>
      </c>
      <c r="V34">
        <v>0</v>
      </c>
    </row>
    <row r="35" spans="5:22" ht="15.75" customHeight="1" x14ac:dyDescent="0.3">
      <c r="E35" s="4" t="s">
        <v>134</v>
      </c>
      <c r="F35" s="5">
        <v>45432</v>
      </c>
      <c r="G35" s="4" t="s">
        <v>29</v>
      </c>
      <c r="H35" s="4" t="s">
        <v>30</v>
      </c>
      <c r="I35" s="4" t="s">
        <v>61</v>
      </c>
      <c r="J35" s="4" t="s">
        <v>62</v>
      </c>
      <c r="K35" s="4" t="s">
        <v>19</v>
      </c>
      <c r="L35" s="4">
        <v>1</v>
      </c>
      <c r="M35" s="4">
        <v>899.99</v>
      </c>
      <c r="N35" s="4" t="s">
        <v>26</v>
      </c>
      <c r="O35" s="4" t="s">
        <v>50</v>
      </c>
      <c r="P35" s="4" t="s">
        <v>27</v>
      </c>
      <c r="Q35" s="5">
        <v>44578</v>
      </c>
      <c r="R35" s="4">
        <v>899.99</v>
      </c>
      <c r="S35" s="12">
        <f t="shared" ca="1" si="0"/>
        <v>46038.591457291666</v>
      </c>
      <c r="T35" s="13">
        <f t="shared" ca="1" si="1"/>
        <v>46038</v>
      </c>
      <c r="U35" s="13">
        <f t="shared" si="2"/>
        <v>45443</v>
      </c>
      <c r="V35">
        <v>2</v>
      </c>
    </row>
    <row r="36" spans="5:22" ht="15.75" customHeight="1" x14ac:dyDescent="0.3">
      <c r="E36" s="4" t="s">
        <v>135</v>
      </c>
      <c r="F36" s="5">
        <v>45434</v>
      </c>
      <c r="G36" s="4" t="s">
        <v>99</v>
      </c>
      <c r="H36" s="4" t="s">
        <v>100</v>
      </c>
      <c r="I36" s="4" t="s">
        <v>105</v>
      </c>
      <c r="J36" s="4" t="s">
        <v>106</v>
      </c>
      <c r="K36" s="4" t="s">
        <v>46</v>
      </c>
      <c r="L36" s="4">
        <v>3</v>
      </c>
      <c r="M36" s="4">
        <v>299.99</v>
      </c>
      <c r="N36" s="4" t="s">
        <v>26</v>
      </c>
      <c r="O36" s="4" t="s">
        <v>63</v>
      </c>
      <c r="P36" s="4" t="s">
        <v>22</v>
      </c>
      <c r="Q36" s="5">
        <v>44824</v>
      </c>
      <c r="R36" s="4">
        <v>899.97</v>
      </c>
      <c r="S36" s="12">
        <f t="shared" ca="1" si="0"/>
        <v>46038.591457291666</v>
      </c>
      <c r="T36" s="13">
        <f t="shared" ca="1" si="1"/>
        <v>46038</v>
      </c>
      <c r="U36" s="13">
        <f t="shared" si="2"/>
        <v>45443</v>
      </c>
      <c r="V36">
        <v>1</v>
      </c>
    </row>
    <row r="37" spans="5:22" ht="15.75" customHeight="1" x14ac:dyDescent="0.3">
      <c r="E37" s="4" t="s">
        <v>136</v>
      </c>
      <c r="F37" s="5">
        <v>45435</v>
      </c>
      <c r="G37" s="4" t="s">
        <v>129</v>
      </c>
      <c r="H37" s="4" t="s">
        <v>130</v>
      </c>
      <c r="I37" s="4" t="s">
        <v>114</v>
      </c>
      <c r="J37" s="4" t="s">
        <v>115</v>
      </c>
      <c r="K37" s="4" t="s">
        <v>33</v>
      </c>
      <c r="L37" s="4">
        <v>3</v>
      </c>
      <c r="M37" s="4">
        <v>79.989999999999995</v>
      </c>
      <c r="N37" s="4" t="s">
        <v>20</v>
      </c>
      <c r="O37" s="4" t="s">
        <v>35</v>
      </c>
      <c r="P37" s="4" t="s">
        <v>22</v>
      </c>
      <c r="Q37" s="5">
        <v>45046</v>
      </c>
      <c r="R37" s="4">
        <v>239.97</v>
      </c>
      <c r="S37" s="12">
        <f t="shared" ca="1" si="0"/>
        <v>46038.591457291666</v>
      </c>
      <c r="T37" s="13">
        <f t="shared" ca="1" si="1"/>
        <v>46038</v>
      </c>
      <c r="U37" s="13">
        <f t="shared" si="2"/>
        <v>45443</v>
      </c>
      <c r="V37">
        <v>1</v>
      </c>
    </row>
    <row r="38" spans="5:22" ht="15.75" customHeight="1" x14ac:dyDescent="0.3">
      <c r="E38" s="4" t="s">
        <v>137</v>
      </c>
      <c r="F38" s="5">
        <v>45438</v>
      </c>
      <c r="G38" s="4" t="s">
        <v>138</v>
      </c>
      <c r="H38" s="4" t="s">
        <v>139</v>
      </c>
      <c r="I38" s="4" t="s">
        <v>126</v>
      </c>
      <c r="J38" s="4" t="s">
        <v>127</v>
      </c>
      <c r="K38" s="4" t="s">
        <v>46</v>
      </c>
      <c r="L38" s="4">
        <v>3</v>
      </c>
      <c r="M38" s="4">
        <v>199.99</v>
      </c>
      <c r="N38" s="4" t="s">
        <v>26</v>
      </c>
      <c r="O38" s="4" t="s">
        <v>40</v>
      </c>
      <c r="P38" s="4" t="s">
        <v>27</v>
      </c>
      <c r="Q38" s="5">
        <v>45292</v>
      </c>
      <c r="R38" s="4">
        <v>599.97</v>
      </c>
      <c r="S38" s="12">
        <f t="shared" ca="1" si="0"/>
        <v>46038.591457291666</v>
      </c>
      <c r="T38" s="13">
        <f t="shared" ca="1" si="1"/>
        <v>46038</v>
      </c>
      <c r="U38" s="13">
        <f t="shared" si="2"/>
        <v>45443</v>
      </c>
      <c r="V38">
        <v>0</v>
      </c>
    </row>
    <row r="39" spans="5:22" ht="15.75" customHeight="1" x14ac:dyDescent="0.3">
      <c r="E39" s="4" t="s">
        <v>140</v>
      </c>
      <c r="F39" s="5">
        <v>45440</v>
      </c>
      <c r="G39" s="4" t="s">
        <v>141</v>
      </c>
      <c r="H39" s="4" t="s">
        <v>142</v>
      </c>
      <c r="I39" s="4" t="s">
        <v>80</v>
      </c>
      <c r="J39" s="4" t="s">
        <v>81</v>
      </c>
      <c r="K39" s="4" t="s">
        <v>19</v>
      </c>
      <c r="L39" s="4">
        <v>5</v>
      </c>
      <c r="M39" s="4">
        <v>699.99</v>
      </c>
      <c r="N39" s="4" t="s">
        <v>34</v>
      </c>
      <c r="O39" s="4" t="s">
        <v>50</v>
      </c>
      <c r="P39" s="4" t="s">
        <v>36</v>
      </c>
      <c r="Q39" s="5">
        <v>44407</v>
      </c>
      <c r="R39" s="4">
        <v>3499.95</v>
      </c>
      <c r="S39" s="12">
        <f t="shared" ca="1" si="0"/>
        <v>46038.591457291666</v>
      </c>
      <c r="T39" s="13">
        <f t="shared" ca="1" si="1"/>
        <v>46038</v>
      </c>
      <c r="U39" s="13">
        <f t="shared" si="2"/>
        <v>45443</v>
      </c>
      <c r="V39">
        <v>2</v>
      </c>
    </row>
    <row r="40" spans="5:22" ht="15.75" customHeight="1" x14ac:dyDescent="0.3">
      <c r="E40" s="4" t="s">
        <v>143</v>
      </c>
      <c r="F40" s="5">
        <v>45441</v>
      </c>
      <c r="G40" s="4" t="s">
        <v>144</v>
      </c>
      <c r="H40" s="4" t="s">
        <v>145</v>
      </c>
      <c r="I40" s="4" t="s">
        <v>117</v>
      </c>
      <c r="J40" s="4" t="s">
        <v>118</v>
      </c>
      <c r="K40" s="4" t="s">
        <v>19</v>
      </c>
      <c r="L40" s="4">
        <v>3</v>
      </c>
      <c r="M40" s="4">
        <v>89.99</v>
      </c>
      <c r="N40" s="4" t="s">
        <v>34</v>
      </c>
      <c r="O40" s="4" t="s">
        <v>21</v>
      </c>
      <c r="P40" s="4" t="s">
        <v>27</v>
      </c>
      <c r="Q40" s="5">
        <v>45120</v>
      </c>
      <c r="R40" s="4">
        <v>269.97000000000003</v>
      </c>
      <c r="S40" s="12">
        <f t="shared" ca="1" si="0"/>
        <v>46038.591457291666</v>
      </c>
      <c r="T40" s="13">
        <f t="shared" ca="1" si="1"/>
        <v>46038</v>
      </c>
      <c r="U40" s="13">
        <f t="shared" si="2"/>
        <v>45443</v>
      </c>
      <c r="V40">
        <v>0</v>
      </c>
    </row>
    <row r="41" spans="5:22" ht="15.75" customHeight="1" x14ac:dyDescent="0.3">
      <c r="E41" s="4" t="s">
        <v>146</v>
      </c>
      <c r="F41" s="5">
        <v>45443</v>
      </c>
      <c r="G41" s="4" t="s">
        <v>147</v>
      </c>
      <c r="H41" s="4" t="s">
        <v>148</v>
      </c>
      <c r="I41" s="4" t="s">
        <v>114</v>
      </c>
      <c r="J41" s="4" t="s">
        <v>115</v>
      </c>
      <c r="K41" s="4" t="s">
        <v>33</v>
      </c>
      <c r="L41" s="4">
        <v>1</v>
      </c>
      <c r="M41" s="4">
        <v>79.989999999999995</v>
      </c>
      <c r="N41" s="4" t="s">
        <v>20</v>
      </c>
      <c r="O41" s="4" t="s">
        <v>40</v>
      </c>
      <c r="P41" s="4" t="s">
        <v>36</v>
      </c>
      <c r="Q41" s="5">
        <v>44917</v>
      </c>
      <c r="R41" s="4">
        <v>79.989999999999995</v>
      </c>
      <c r="S41" s="12">
        <f t="shared" ca="1" si="0"/>
        <v>46038.591457291666</v>
      </c>
      <c r="T41" s="13">
        <f t="shared" ca="1" si="1"/>
        <v>46038</v>
      </c>
      <c r="U41" s="13">
        <f t="shared" si="2"/>
        <v>45443</v>
      </c>
      <c r="V41">
        <v>1</v>
      </c>
    </row>
    <row r="42" spans="5:22" ht="15.75" customHeight="1" x14ac:dyDescent="0.3">
      <c r="E42" s="4" t="s">
        <v>149</v>
      </c>
      <c r="F42" s="5">
        <v>45444</v>
      </c>
      <c r="G42" s="4" t="s">
        <v>150</v>
      </c>
      <c r="H42" s="4" t="s">
        <v>151</v>
      </c>
      <c r="I42" s="4" t="s">
        <v>31</v>
      </c>
      <c r="J42" s="4" t="s">
        <v>32</v>
      </c>
      <c r="K42" s="4" t="s">
        <v>33</v>
      </c>
      <c r="L42" s="4">
        <v>2</v>
      </c>
      <c r="M42" s="4">
        <v>59.99</v>
      </c>
      <c r="N42" s="4" t="s">
        <v>20</v>
      </c>
      <c r="O42" s="4" t="s">
        <v>50</v>
      </c>
      <c r="P42" s="4" t="s">
        <v>22</v>
      </c>
      <c r="Q42" s="5">
        <v>45390</v>
      </c>
      <c r="R42" s="4">
        <v>119.98</v>
      </c>
      <c r="S42" s="12">
        <f t="shared" ca="1" si="0"/>
        <v>46038.591457291666</v>
      </c>
      <c r="T42" s="13">
        <f t="shared" ca="1" si="1"/>
        <v>46038</v>
      </c>
      <c r="U42" s="13">
        <f t="shared" si="2"/>
        <v>45473</v>
      </c>
      <c r="V42">
        <v>0</v>
      </c>
    </row>
    <row r="43" spans="5:22" ht="15.75" customHeight="1" x14ac:dyDescent="0.3">
      <c r="E43" s="4" t="s">
        <v>152</v>
      </c>
      <c r="F43" s="5">
        <v>45444</v>
      </c>
      <c r="G43" s="4" t="s">
        <v>55</v>
      </c>
      <c r="H43" s="4" t="s">
        <v>56</v>
      </c>
      <c r="I43" s="4" t="s">
        <v>117</v>
      </c>
      <c r="J43" s="4" t="s">
        <v>118</v>
      </c>
      <c r="K43" s="4" t="s">
        <v>19</v>
      </c>
      <c r="L43" s="4">
        <v>1</v>
      </c>
      <c r="M43" s="4">
        <v>89.99</v>
      </c>
      <c r="N43" s="4" t="s">
        <v>20</v>
      </c>
      <c r="O43" s="4" t="s">
        <v>40</v>
      </c>
      <c r="P43" s="4" t="s">
        <v>22</v>
      </c>
      <c r="Q43" s="5">
        <v>45141</v>
      </c>
      <c r="R43" s="4">
        <v>89.99</v>
      </c>
      <c r="S43" s="12">
        <f t="shared" ca="1" si="0"/>
        <v>46038.591457291666</v>
      </c>
      <c r="T43" s="13">
        <f t="shared" ca="1" si="1"/>
        <v>46038</v>
      </c>
      <c r="U43" s="13">
        <f t="shared" si="2"/>
        <v>45473</v>
      </c>
      <c r="V43">
        <v>0</v>
      </c>
    </row>
    <row r="44" spans="5:22" ht="15.75" customHeight="1" x14ac:dyDescent="0.3">
      <c r="E44" s="4" t="s">
        <v>153</v>
      </c>
      <c r="F44" s="5">
        <v>45446</v>
      </c>
      <c r="G44" s="4" t="s">
        <v>154</v>
      </c>
      <c r="H44" s="4" t="s">
        <v>155</v>
      </c>
      <c r="I44" s="4" t="s">
        <v>117</v>
      </c>
      <c r="J44" s="4" t="s">
        <v>118</v>
      </c>
      <c r="K44" s="4" t="s">
        <v>19</v>
      </c>
      <c r="L44" s="4">
        <v>5</v>
      </c>
      <c r="M44" s="4">
        <v>89.99</v>
      </c>
      <c r="N44" s="4" t="s">
        <v>26</v>
      </c>
      <c r="O44" s="4" t="s">
        <v>63</v>
      </c>
      <c r="P44" s="4" t="s">
        <v>36</v>
      </c>
      <c r="Q44" s="5">
        <v>44587</v>
      </c>
      <c r="R44" s="4">
        <v>449.95</v>
      </c>
      <c r="S44" s="12">
        <f t="shared" ca="1" si="0"/>
        <v>46038.591457291666</v>
      </c>
      <c r="T44" s="13">
        <f t="shared" ca="1" si="1"/>
        <v>46038</v>
      </c>
      <c r="U44" s="13">
        <f t="shared" si="2"/>
        <v>45473</v>
      </c>
      <c r="V44">
        <v>2</v>
      </c>
    </row>
    <row r="45" spans="5:22" ht="15.75" customHeight="1" x14ac:dyDescent="0.3">
      <c r="E45" s="4" t="s">
        <v>156</v>
      </c>
      <c r="F45" s="5">
        <v>45449</v>
      </c>
      <c r="G45" s="4" t="s">
        <v>24</v>
      </c>
      <c r="H45" s="4" t="s">
        <v>25</v>
      </c>
      <c r="I45" s="4" t="s">
        <v>17</v>
      </c>
      <c r="J45" s="4" t="s">
        <v>18</v>
      </c>
      <c r="K45" s="4" t="s">
        <v>19</v>
      </c>
      <c r="L45" s="4">
        <v>5</v>
      </c>
      <c r="M45" s="4">
        <v>249.99</v>
      </c>
      <c r="N45" s="4" t="s">
        <v>26</v>
      </c>
      <c r="O45" s="4" t="s">
        <v>63</v>
      </c>
      <c r="P45" s="4" t="s">
        <v>36</v>
      </c>
      <c r="Q45" s="5">
        <v>44707</v>
      </c>
      <c r="R45" s="4">
        <v>1249.95</v>
      </c>
      <c r="S45" s="12">
        <f t="shared" ca="1" si="0"/>
        <v>46038.591457291666</v>
      </c>
      <c r="T45" s="13">
        <f t="shared" ca="1" si="1"/>
        <v>46038</v>
      </c>
      <c r="U45" s="13">
        <f t="shared" si="2"/>
        <v>45473</v>
      </c>
      <c r="V45">
        <v>2</v>
      </c>
    </row>
    <row r="46" spans="5:22" ht="15.75" customHeight="1" x14ac:dyDescent="0.3">
      <c r="E46" s="4" t="s">
        <v>157</v>
      </c>
      <c r="F46" s="5">
        <v>45449</v>
      </c>
      <c r="G46" s="4" t="s">
        <v>158</v>
      </c>
      <c r="H46" s="4" t="s">
        <v>159</v>
      </c>
      <c r="I46" s="4" t="s">
        <v>117</v>
      </c>
      <c r="J46" s="4" t="s">
        <v>118</v>
      </c>
      <c r="K46" s="4" t="s">
        <v>19</v>
      </c>
      <c r="L46" s="4">
        <v>1</v>
      </c>
      <c r="M46" s="4">
        <v>89.99</v>
      </c>
      <c r="N46" s="4" t="s">
        <v>26</v>
      </c>
      <c r="O46" s="4" t="s">
        <v>35</v>
      </c>
      <c r="P46" s="4" t="s">
        <v>36</v>
      </c>
      <c r="Q46" s="5">
        <v>44582</v>
      </c>
      <c r="R46" s="4">
        <v>89.99</v>
      </c>
      <c r="S46" s="12">
        <f t="shared" ca="1" si="0"/>
        <v>46038.591457291666</v>
      </c>
      <c r="T46" s="13">
        <f t="shared" ca="1" si="1"/>
        <v>46038</v>
      </c>
      <c r="U46" s="13">
        <f t="shared" si="2"/>
        <v>45473</v>
      </c>
      <c r="V46">
        <v>2</v>
      </c>
    </row>
    <row r="47" spans="5:22" ht="15.75" customHeight="1" x14ac:dyDescent="0.3">
      <c r="E47" s="4" t="s">
        <v>160</v>
      </c>
      <c r="F47" s="5">
        <v>45450</v>
      </c>
      <c r="G47" s="4" t="s">
        <v>42</v>
      </c>
      <c r="H47" s="4" t="s">
        <v>43</v>
      </c>
      <c r="I47" s="4" t="s">
        <v>44</v>
      </c>
      <c r="J47" s="4" t="s">
        <v>45</v>
      </c>
      <c r="K47" s="4" t="s">
        <v>46</v>
      </c>
      <c r="L47" s="4">
        <v>2</v>
      </c>
      <c r="M47" s="4">
        <v>149.99</v>
      </c>
      <c r="N47" s="4" t="s">
        <v>20</v>
      </c>
      <c r="O47" s="4" t="s">
        <v>63</v>
      </c>
      <c r="P47" s="4" t="s">
        <v>27</v>
      </c>
      <c r="Q47" s="5">
        <v>44645</v>
      </c>
      <c r="R47" s="4">
        <v>299.98</v>
      </c>
      <c r="S47" s="12">
        <f t="shared" ca="1" si="0"/>
        <v>46038.591457291666</v>
      </c>
      <c r="T47" s="13">
        <f t="shared" ca="1" si="1"/>
        <v>46038</v>
      </c>
      <c r="U47" s="13">
        <f t="shared" si="2"/>
        <v>45473</v>
      </c>
      <c r="V47">
        <v>2</v>
      </c>
    </row>
    <row r="48" spans="5:22" ht="15.75" customHeight="1" x14ac:dyDescent="0.3">
      <c r="E48" s="4" t="s">
        <v>161</v>
      </c>
      <c r="F48" s="5">
        <v>45452</v>
      </c>
      <c r="G48" s="4" t="s">
        <v>162</v>
      </c>
      <c r="H48" s="4" t="s">
        <v>163</v>
      </c>
      <c r="I48" s="4" t="s">
        <v>31</v>
      </c>
      <c r="J48" s="4" t="s">
        <v>32</v>
      </c>
      <c r="K48" s="4" t="s">
        <v>33</v>
      </c>
      <c r="L48" s="4">
        <v>4</v>
      </c>
      <c r="M48" s="4">
        <v>59.99</v>
      </c>
      <c r="N48" s="4" t="s">
        <v>20</v>
      </c>
      <c r="O48" s="4" t="s">
        <v>63</v>
      </c>
      <c r="P48" s="4" t="s">
        <v>36</v>
      </c>
      <c r="Q48" s="5">
        <v>44435</v>
      </c>
      <c r="R48" s="4">
        <v>239.96</v>
      </c>
      <c r="S48" s="12">
        <f t="shared" ca="1" si="0"/>
        <v>46038.591457291666</v>
      </c>
      <c r="T48" s="13">
        <f t="shared" ca="1" si="1"/>
        <v>46038</v>
      </c>
      <c r="U48" s="13">
        <f t="shared" si="2"/>
        <v>45473</v>
      </c>
      <c r="V48">
        <v>2</v>
      </c>
    </row>
    <row r="49" spans="5:22" ht="15.75" customHeight="1" x14ac:dyDescent="0.3">
      <c r="E49" s="4" t="s">
        <v>164</v>
      </c>
      <c r="F49" s="5">
        <v>45456</v>
      </c>
      <c r="G49" s="4" t="s">
        <v>129</v>
      </c>
      <c r="H49" s="4" t="s">
        <v>130</v>
      </c>
      <c r="I49" s="4" t="s">
        <v>117</v>
      </c>
      <c r="J49" s="4" t="s">
        <v>118</v>
      </c>
      <c r="K49" s="4" t="s">
        <v>19</v>
      </c>
      <c r="L49" s="4">
        <v>5</v>
      </c>
      <c r="M49" s="4">
        <v>89.99</v>
      </c>
      <c r="N49" s="4" t="s">
        <v>20</v>
      </c>
      <c r="O49" s="4" t="s">
        <v>21</v>
      </c>
      <c r="P49" s="4" t="s">
        <v>27</v>
      </c>
      <c r="Q49" s="5">
        <v>44579</v>
      </c>
      <c r="R49" s="4">
        <v>449.95</v>
      </c>
      <c r="S49" s="12">
        <f t="shared" ca="1" si="0"/>
        <v>46038.591457291666</v>
      </c>
      <c r="T49" s="13">
        <f t="shared" ca="1" si="1"/>
        <v>46038</v>
      </c>
      <c r="U49" s="13">
        <f t="shared" si="2"/>
        <v>45473</v>
      </c>
      <c r="V49">
        <v>2</v>
      </c>
    </row>
    <row r="50" spans="5:22" ht="15.75" customHeight="1" x14ac:dyDescent="0.3">
      <c r="E50" s="4" t="s">
        <v>165</v>
      </c>
      <c r="F50" s="5">
        <v>45459</v>
      </c>
      <c r="G50" s="4" t="s">
        <v>99</v>
      </c>
      <c r="H50" s="4" t="s">
        <v>100</v>
      </c>
      <c r="I50" s="4" t="s">
        <v>117</v>
      </c>
      <c r="J50" s="4" t="s">
        <v>118</v>
      </c>
      <c r="K50" s="4" t="s">
        <v>19</v>
      </c>
      <c r="L50" s="4">
        <v>2</v>
      </c>
      <c r="M50" s="4">
        <v>89.99</v>
      </c>
      <c r="N50" s="4" t="s">
        <v>26</v>
      </c>
      <c r="O50" s="4" t="s">
        <v>35</v>
      </c>
      <c r="P50" s="4" t="s">
        <v>27</v>
      </c>
      <c r="Q50" s="5">
        <v>44471</v>
      </c>
      <c r="R50" s="4">
        <v>179.98</v>
      </c>
      <c r="S50" s="12">
        <f t="shared" ca="1" si="0"/>
        <v>46038.591457291666</v>
      </c>
      <c r="T50" s="13">
        <f t="shared" ca="1" si="1"/>
        <v>46038</v>
      </c>
      <c r="U50" s="13">
        <f t="shared" si="2"/>
        <v>45473</v>
      </c>
      <c r="V50">
        <v>2</v>
      </c>
    </row>
    <row r="51" spans="5:22" ht="15.75" customHeight="1" x14ac:dyDescent="0.3">
      <c r="E51" s="4" t="s">
        <v>166</v>
      </c>
      <c r="F51" s="5">
        <v>45459</v>
      </c>
      <c r="G51" s="4" t="s">
        <v>15</v>
      </c>
      <c r="H51" s="4" t="s">
        <v>16</v>
      </c>
      <c r="I51" s="4" t="s">
        <v>61</v>
      </c>
      <c r="J51" s="4" t="s">
        <v>62</v>
      </c>
      <c r="K51" s="4" t="s">
        <v>19</v>
      </c>
      <c r="L51" s="4">
        <v>5</v>
      </c>
      <c r="M51" s="4">
        <v>899.99</v>
      </c>
      <c r="N51" s="4" t="s">
        <v>26</v>
      </c>
      <c r="O51" s="4" t="s">
        <v>35</v>
      </c>
      <c r="P51" s="4" t="s">
        <v>36</v>
      </c>
      <c r="Q51" s="5">
        <v>44974</v>
      </c>
      <c r="R51" s="4">
        <v>4499.95</v>
      </c>
      <c r="S51" s="12">
        <f t="shared" ca="1" si="0"/>
        <v>46038.591457291666</v>
      </c>
      <c r="T51" s="13">
        <f t="shared" ca="1" si="1"/>
        <v>46038</v>
      </c>
      <c r="U51" s="13">
        <f t="shared" si="2"/>
        <v>45473</v>
      </c>
      <c r="V51">
        <v>1</v>
      </c>
    </row>
    <row r="52" spans="5:22" ht="15.75" customHeight="1" x14ac:dyDescent="0.3">
      <c r="E52" s="4" t="s">
        <v>167</v>
      </c>
      <c r="F52" s="5">
        <v>45459</v>
      </c>
      <c r="G52" s="4" t="s">
        <v>123</v>
      </c>
      <c r="H52" s="4" t="s">
        <v>124</v>
      </c>
      <c r="I52" s="4" t="s">
        <v>61</v>
      </c>
      <c r="J52" s="4" t="s">
        <v>62</v>
      </c>
      <c r="K52" s="4" t="s">
        <v>19</v>
      </c>
      <c r="L52" s="4">
        <v>5</v>
      </c>
      <c r="M52" s="4">
        <v>899.99</v>
      </c>
      <c r="N52" s="4" t="s">
        <v>34</v>
      </c>
      <c r="O52" s="4" t="s">
        <v>63</v>
      </c>
      <c r="P52" s="4" t="s">
        <v>27</v>
      </c>
      <c r="Q52" s="5">
        <v>45278</v>
      </c>
      <c r="R52" s="4">
        <v>4499.95</v>
      </c>
      <c r="S52" s="12">
        <f t="shared" ca="1" si="0"/>
        <v>46038.591457291666</v>
      </c>
      <c r="T52" s="13">
        <f t="shared" ca="1" si="1"/>
        <v>46038</v>
      </c>
      <c r="U52" s="13">
        <f t="shared" si="2"/>
        <v>45473</v>
      </c>
      <c r="V52">
        <v>0</v>
      </c>
    </row>
    <row r="53" spans="5:22" ht="15.75" customHeight="1" x14ac:dyDescent="0.3">
      <c r="E53" s="4" t="s">
        <v>168</v>
      </c>
      <c r="F53" s="5">
        <v>45460</v>
      </c>
      <c r="G53" s="4" t="s">
        <v>158</v>
      </c>
      <c r="H53" s="4" t="s">
        <v>159</v>
      </c>
      <c r="I53" s="4" t="s">
        <v>31</v>
      </c>
      <c r="J53" s="4" t="s">
        <v>32</v>
      </c>
      <c r="K53" s="4" t="s">
        <v>33</v>
      </c>
      <c r="L53" s="4">
        <v>1</v>
      </c>
      <c r="M53" s="4">
        <v>59.99</v>
      </c>
      <c r="N53" s="4" t="s">
        <v>57</v>
      </c>
      <c r="O53" s="4" t="s">
        <v>50</v>
      </c>
      <c r="P53" s="4" t="s">
        <v>27</v>
      </c>
      <c r="Q53" s="5">
        <v>45190</v>
      </c>
      <c r="R53" s="4">
        <v>59.99</v>
      </c>
      <c r="S53" s="12">
        <f t="shared" ca="1" si="0"/>
        <v>46038.591457291666</v>
      </c>
      <c r="T53" s="13">
        <f t="shared" ca="1" si="1"/>
        <v>46038</v>
      </c>
      <c r="U53" s="13">
        <f t="shared" si="2"/>
        <v>45473</v>
      </c>
      <c r="V53">
        <v>0</v>
      </c>
    </row>
    <row r="54" spans="5:22" ht="15.75" customHeight="1" x14ac:dyDescent="0.3">
      <c r="E54" s="4" t="s">
        <v>169</v>
      </c>
      <c r="F54" s="5">
        <v>45460</v>
      </c>
      <c r="G54" s="4" t="s">
        <v>141</v>
      </c>
      <c r="H54" s="4" t="s">
        <v>142</v>
      </c>
      <c r="I54" s="4" t="s">
        <v>105</v>
      </c>
      <c r="J54" s="4" t="s">
        <v>106</v>
      </c>
      <c r="K54" s="4" t="s">
        <v>46</v>
      </c>
      <c r="L54" s="4">
        <v>2</v>
      </c>
      <c r="M54" s="4">
        <v>299.99</v>
      </c>
      <c r="N54" s="4" t="s">
        <v>57</v>
      </c>
      <c r="O54" s="4" t="s">
        <v>63</v>
      </c>
      <c r="P54" s="4" t="s">
        <v>36</v>
      </c>
      <c r="Q54" s="5">
        <v>45253</v>
      </c>
      <c r="R54" s="4">
        <v>599.98</v>
      </c>
      <c r="S54" s="12">
        <f t="shared" ca="1" si="0"/>
        <v>46038.591457291666</v>
      </c>
      <c r="T54" s="13">
        <f t="shared" ca="1" si="1"/>
        <v>46038</v>
      </c>
      <c r="U54" s="13">
        <f t="shared" si="2"/>
        <v>45473</v>
      </c>
      <c r="V54">
        <v>0</v>
      </c>
    </row>
    <row r="55" spans="5:22" ht="15.75" customHeight="1" x14ac:dyDescent="0.3">
      <c r="E55" s="4" t="s">
        <v>170</v>
      </c>
      <c r="F55" s="5">
        <v>45468</v>
      </c>
      <c r="G55" s="4" t="s">
        <v>171</v>
      </c>
      <c r="H55" s="4" t="s">
        <v>172</v>
      </c>
      <c r="I55" s="4" t="s">
        <v>117</v>
      </c>
      <c r="J55" s="4" t="s">
        <v>118</v>
      </c>
      <c r="K55" s="4" t="s">
        <v>19</v>
      </c>
      <c r="L55" s="4">
        <v>4</v>
      </c>
      <c r="M55" s="4">
        <v>89.99</v>
      </c>
      <c r="N55" s="4" t="s">
        <v>57</v>
      </c>
      <c r="O55" s="4" t="s">
        <v>35</v>
      </c>
      <c r="P55" s="4" t="s">
        <v>22</v>
      </c>
      <c r="Q55" s="5">
        <v>45281</v>
      </c>
      <c r="R55" s="4">
        <v>359.96</v>
      </c>
      <c r="S55" s="12">
        <f t="shared" ca="1" si="0"/>
        <v>46038.591457291666</v>
      </c>
      <c r="T55" s="13">
        <f t="shared" ca="1" si="1"/>
        <v>46038</v>
      </c>
      <c r="U55" s="13">
        <f t="shared" si="2"/>
        <v>45473</v>
      </c>
      <c r="V55">
        <v>0</v>
      </c>
    </row>
    <row r="56" spans="5:22" ht="15.75" customHeight="1" x14ac:dyDescent="0.3">
      <c r="E56" s="4" t="s">
        <v>173</v>
      </c>
      <c r="F56" s="5">
        <v>45469</v>
      </c>
      <c r="G56" s="4" t="s">
        <v>29</v>
      </c>
      <c r="H56" s="4" t="s">
        <v>30</v>
      </c>
      <c r="I56" s="4" t="s">
        <v>114</v>
      </c>
      <c r="J56" s="4" t="s">
        <v>115</v>
      </c>
      <c r="K56" s="4" t="s">
        <v>33</v>
      </c>
      <c r="L56" s="4">
        <v>1</v>
      </c>
      <c r="M56" s="4">
        <v>79.989999999999995</v>
      </c>
      <c r="N56" s="4" t="s">
        <v>34</v>
      </c>
      <c r="O56" s="4" t="s">
        <v>21</v>
      </c>
      <c r="P56" s="4" t="s">
        <v>27</v>
      </c>
      <c r="Q56" s="5">
        <v>45352</v>
      </c>
      <c r="R56" s="4">
        <v>79.989999999999995</v>
      </c>
      <c r="S56" s="12">
        <f t="shared" ca="1" si="0"/>
        <v>46038.591457291666</v>
      </c>
      <c r="T56" s="13">
        <f t="shared" ca="1" si="1"/>
        <v>46038</v>
      </c>
      <c r="U56" s="13">
        <f t="shared" si="2"/>
        <v>45473</v>
      </c>
      <c r="V56">
        <v>0</v>
      </c>
    </row>
    <row r="57" spans="5:22" ht="15.75" customHeight="1" x14ac:dyDescent="0.3">
      <c r="E57" s="4" t="s">
        <v>174</v>
      </c>
      <c r="F57" s="5">
        <v>45469</v>
      </c>
      <c r="G57" s="4" t="s">
        <v>59</v>
      </c>
      <c r="H57" s="4" t="s">
        <v>60</v>
      </c>
      <c r="I57" s="4" t="s">
        <v>117</v>
      </c>
      <c r="J57" s="4" t="s">
        <v>118</v>
      </c>
      <c r="K57" s="4" t="s">
        <v>19</v>
      </c>
      <c r="L57" s="4">
        <v>2</v>
      </c>
      <c r="M57" s="4">
        <v>89.99</v>
      </c>
      <c r="N57" s="4" t="s">
        <v>20</v>
      </c>
      <c r="O57" s="4" t="s">
        <v>50</v>
      </c>
      <c r="P57" s="4" t="s">
        <v>22</v>
      </c>
      <c r="Q57" s="5">
        <v>44438</v>
      </c>
      <c r="R57" s="4">
        <v>179.98</v>
      </c>
      <c r="S57" s="12">
        <f t="shared" ca="1" si="0"/>
        <v>46038.591457291666</v>
      </c>
      <c r="T57" s="13">
        <f t="shared" ca="1" si="1"/>
        <v>46038</v>
      </c>
      <c r="U57" s="13">
        <f t="shared" si="2"/>
        <v>45473</v>
      </c>
      <c r="V57">
        <v>2</v>
      </c>
    </row>
    <row r="58" spans="5:22" ht="15.75" customHeight="1" x14ac:dyDescent="0.3">
      <c r="E58" s="4" t="s">
        <v>175</v>
      </c>
      <c r="F58" s="5">
        <v>45471</v>
      </c>
      <c r="G58" s="4" t="s">
        <v>38</v>
      </c>
      <c r="H58" s="4" t="s">
        <v>39</v>
      </c>
      <c r="I58" s="4" t="s">
        <v>80</v>
      </c>
      <c r="J58" s="4" t="s">
        <v>81</v>
      </c>
      <c r="K58" s="4" t="s">
        <v>19</v>
      </c>
      <c r="L58" s="4">
        <v>3</v>
      </c>
      <c r="M58" s="4">
        <v>699.99</v>
      </c>
      <c r="N58" s="4" t="s">
        <v>26</v>
      </c>
      <c r="O58" s="4" t="s">
        <v>63</v>
      </c>
      <c r="P58" s="4" t="s">
        <v>27</v>
      </c>
      <c r="Q58" s="5">
        <v>45102</v>
      </c>
      <c r="R58" s="4">
        <v>2099.9699999999998</v>
      </c>
      <c r="S58" s="12">
        <f t="shared" ca="1" si="0"/>
        <v>46038.591457291666</v>
      </c>
      <c r="T58" s="13">
        <f t="shared" ca="1" si="1"/>
        <v>46038</v>
      </c>
      <c r="U58" s="13">
        <f t="shared" si="2"/>
        <v>45473</v>
      </c>
      <c r="V58">
        <v>1</v>
      </c>
    </row>
    <row r="59" spans="5:22" ht="15.75" customHeight="1" x14ac:dyDescent="0.3">
      <c r="E59" s="4" t="s">
        <v>176</v>
      </c>
      <c r="F59" s="5">
        <v>45471</v>
      </c>
      <c r="G59" s="4" t="s">
        <v>99</v>
      </c>
      <c r="H59" s="4" t="s">
        <v>100</v>
      </c>
      <c r="I59" s="4" t="s">
        <v>61</v>
      </c>
      <c r="J59" s="4" t="s">
        <v>62</v>
      </c>
      <c r="K59" s="4" t="s">
        <v>19</v>
      </c>
      <c r="L59" s="4">
        <v>4</v>
      </c>
      <c r="M59" s="4">
        <v>899.99</v>
      </c>
      <c r="N59" s="4" t="s">
        <v>26</v>
      </c>
      <c r="O59" s="4" t="s">
        <v>63</v>
      </c>
      <c r="P59" s="4" t="s">
        <v>27</v>
      </c>
      <c r="Q59" s="5">
        <v>44993</v>
      </c>
      <c r="R59" s="4">
        <v>3599.96</v>
      </c>
      <c r="S59" s="12">
        <f t="shared" ca="1" si="0"/>
        <v>46038.591457291666</v>
      </c>
      <c r="T59" s="13">
        <f t="shared" ca="1" si="1"/>
        <v>46038</v>
      </c>
      <c r="U59" s="13">
        <f t="shared" si="2"/>
        <v>45473</v>
      </c>
      <c r="V59">
        <v>1</v>
      </c>
    </row>
    <row r="60" spans="5:22" ht="15.75" customHeight="1" x14ac:dyDescent="0.3">
      <c r="E60" s="4" t="s">
        <v>177</v>
      </c>
      <c r="F60" s="5">
        <v>45472</v>
      </c>
      <c r="G60" s="4" t="s">
        <v>120</v>
      </c>
      <c r="H60" s="4" t="s">
        <v>121</v>
      </c>
      <c r="I60" s="4" t="s">
        <v>44</v>
      </c>
      <c r="J60" s="4" t="s">
        <v>45</v>
      </c>
      <c r="K60" s="4" t="s">
        <v>46</v>
      </c>
      <c r="L60" s="4">
        <v>1</v>
      </c>
      <c r="M60" s="4">
        <v>149.99</v>
      </c>
      <c r="N60" s="4" t="s">
        <v>34</v>
      </c>
      <c r="O60" s="4" t="s">
        <v>63</v>
      </c>
      <c r="P60" s="4" t="s">
        <v>22</v>
      </c>
      <c r="Q60" s="5">
        <v>44851</v>
      </c>
      <c r="R60" s="4">
        <v>149.99</v>
      </c>
      <c r="S60" s="12">
        <f t="shared" ca="1" si="0"/>
        <v>46038.591457291666</v>
      </c>
      <c r="T60" s="13">
        <f t="shared" ca="1" si="1"/>
        <v>46038</v>
      </c>
      <c r="U60" s="13">
        <f t="shared" si="2"/>
        <v>45473</v>
      </c>
      <c r="V60">
        <v>1</v>
      </c>
    </row>
    <row r="61" spans="5:22" ht="15.75" customHeight="1" x14ac:dyDescent="0.3">
      <c r="E61" s="4" t="s">
        <v>178</v>
      </c>
      <c r="F61" s="5">
        <v>45474</v>
      </c>
      <c r="G61" s="4" t="s">
        <v>132</v>
      </c>
      <c r="H61" s="4" t="s">
        <v>133</v>
      </c>
      <c r="I61" s="4" t="s">
        <v>117</v>
      </c>
      <c r="J61" s="4" t="s">
        <v>118</v>
      </c>
      <c r="K61" s="4" t="s">
        <v>19</v>
      </c>
      <c r="L61" s="4">
        <v>2</v>
      </c>
      <c r="M61" s="4">
        <v>89.99</v>
      </c>
      <c r="N61" s="4" t="s">
        <v>34</v>
      </c>
      <c r="O61" s="4" t="s">
        <v>21</v>
      </c>
      <c r="P61" s="4" t="s">
        <v>27</v>
      </c>
      <c r="Q61" s="5">
        <v>45275</v>
      </c>
      <c r="R61" s="4">
        <v>179.98</v>
      </c>
      <c r="S61" s="12">
        <f t="shared" ca="1" si="0"/>
        <v>46038.591457291666</v>
      </c>
      <c r="T61" s="13">
        <f t="shared" ca="1" si="1"/>
        <v>46038</v>
      </c>
      <c r="U61" s="13">
        <f t="shared" si="2"/>
        <v>45504</v>
      </c>
      <c r="V61">
        <v>0</v>
      </c>
    </row>
    <row r="62" spans="5:22" ht="15.75" customHeight="1" x14ac:dyDescent="0.3">
      <c r="E62" s="4" t="s">
        <v>179</v>
      </c>
      <c r="F62" s="5">
        <v>45475</v>
      </c>
      <c r="G62" s="4" t="s">
        <v>55</v>
      </c>
      <c r="H62" s="4" t="s">
        <v>56</v>
      </c>
      <c r="I62" s="4" t="s">
        <v>117</v>
      </c>
      <c r="J62" s="4" t="s">
        <v>118</v>
      </c>
      <c r="K62" s="4" t="s">
        <v>19</v>
      </c>
      <c r="L62" s="4">
        <v>1</v>
      </c>
      <c r="M62" s="4">
        <v>89.99</v>
      </c>
      <c r="N62" s="4" t="s">
        <v>34</v>
      </c>
      <c r="O62" s="4" t="s">
        <v>50</v>
      </c>
      <c r="P62" s="4" t="s">
        <v>36</v>
      </c>
      <c r="Q62" s="5">
        <v>44802</v>
      </c>
      <c r="R62" s="4">
        <v>89.99</v>
      </c>
      <c r="S62" s="12">
        <f t="shared" ca="1" si="0"/>
        <v>46038.591457291666</v>
      </c>
      <c r="T62" s="13">
        <f t="shared" ca="1" si="1"/>
        <v>46038</v>
      </c>
      <c r="U62" s="13">
        <f t="shared" si="2"/>
        <v>45504</v>
      </c>
      <c r="V62">
        <v>1</v>
      </c>
    </row>
    <row r="63" spans="5:22" ht="15.75" customHeight="1" x14ac:dyDescent="0.3">
      <c r="E63" s="4" t="s">
        <v>180</v>
      </c>
      <c r="F63" s="5">
        <v>45476</v>
      </c>
      <c r="G63" s="4" t="s">
        <v>68</v>
      </c>
      <c r="H63" s="4" t="s">
        <v>69</v>
      </c>
      <c r="I63" s="4" t="s">
        <v>117</v>
      </c>
      <c r="J63" s="4" t="s">
        <v>118</v>
      </c>
      <c r="K63" s="4" t="s">
        <v>19</v>
      </c>
      <c r="L63" s="4">
        <v>1</v>
      </c>
      <c r="M63" s="4">
        <v>89.99</v>
      </c>
      <c r="N63" s="4" t="s">
        <v>20</v>
      </c>
      <c r="O63" s="4" t="s">
        <v>35</v>
      </c>
      <c r="P63" s="4" t="s">
        <v>36</v>
      </c>
      <c r="Q63" s="5">
        <v>44611</v>
      </c>
      <c r="R63" s="4">
        <v>89.99</v>
      </c>
      <c r="S63" s="12">
        <f t="shared" ca="1" si="0"/>
        <v>46038.591457291666</v>
      </c>
      <c r="T63" s="13">
        <f t="shared" ca="1" si="1"/>
        <v>46038</v>
      </c>
      <c r="U63" s="13">
        <f t="shared" si="2"/>
        <v>45504</v>
      </c>
      <c r="V63">
        <v>2</v>
      </c>
    </row>
    <row r="64" spans="5:22" ht="15.75" customHeight="1" x14ac:dyDescent="0.3">
      <c r="E64" s="4" t="s">
        <v>181</v>
      </c>
      <c r="F64" s="5">
        <v>45476</v>
      </c>
      <c r="G64" s="4" t="s">
        <v>182</v>
      </c>
      <c r="H64" s="4" t="s">
        <v>183</v>
      </c>
      <c r="I64" s="4" t="s">
        <v>114</v>
      </c>
      <c r="J64" s="4" t="s">
        <v>115</v>
      </c>
      <c r="K64" s="4" t="s">
        <v>33</v>
      </c>
      <c r="L64" s="4">
        <v>5</v>
      </c>
      <c r="M64" s="4">
        <v>79.989999999999995</v>
      </c>
      <c r="N64" s="4" t="s">
        <v>57</v>
      </c>
      <c r="O64" s="4" t="s">
        <v>21</v>
      </c>
      <c r="P64" s="4" t="s">
        <v>22</v>
      </c>
      <c r="Q64" s="5">
        <v>44981</v>
      </c>
      <c r="R64" s="4">
        <v>399.95</v>
      </c>
      <c r="S64" s="12">
        <f t="shared" ca="1" si="0"/>
        <v>46038.591457291666</v>
      </c>
      <c r="T64" s="13">
        <f t="shared" ca="1" si="1"/>
        <v>46038</v>
      </c>
      <c r="U64" s="13">
        <f t="shared" si="2"/>
        <v>45504</v>
      </c>
      <c r="V64">
        <v>1</v>
      </c>
    </row>
    <row r="65" spans="5:22" ht="15.75" customHeight="1" x14ac:dyDescent="0.3">
      <c r="E65" s="4" t="s">
        <v>184</v>
      </c>
      <c r="F65" s="5">
        <v>45481</v>
      </c>
      <c r="G65" s="4" t="s">
        <v>185</v>
      </c>
      <c r="H65" s="4" t="s">
        <v>186</v>
      </c>
      <c r="I65" s="4" t="s">
        <v>44</v>
      </c>
      <c r="J65" s="4" t="s">
        <v>45</v>
      </c>
      <c r="K65" s="4" t="s">
        <v>46</v>
      </c>
      <c r="L65" s="4">
        <v>1</v>
      </c>
      <c r="M65" s="4">
        <v>149.99</v>
      </c>
      <c r="N65" s="4" t="s">
        <v>34</v>
      </c>
      <c r="O65" s="4" t="s">
        <v>40</v>
      </c>
      <c r="P65" s="4" t="s">
        <v>22</v>
      </c>
      <c r="Q65" s="5">
        <v>44421</v>
      </c>
      <c r="R65" s="4">
        <v>149.99</v>
      </c>
      <c r="S65" s="12">
        <f t="shared" ca="1" si="0"/>
        <v>46038.591457291666</v>
      </c>
      <c r="T65" s="13">
        <f t="shared" ca="1" si="1"/>
        <v>46038</v>
      </c>
      <c r="U65" s="13">
        <f t="shared" si="2"/>
        <v>45504</v>
      </c>
      <c r="V65">
        <v>2</v>
      </c>
    </row>
    <row r="66" spans="5:22" ht="15.75" customHeight="1" x14ac:dyDescent="0.3">
      <c r="E66" s="4" t="s">
        <v>187</v>
      </c>
      <c r="F66" s="5">
        <v>45481</v>
      </c>
      <c r="G66" s="4" t="s">
        <v>42</v>
      </c>
      <c r="H66" s="4" t="s">
        <v>43</v>
      </c>
      <c r="I66" s="4" t="s">
        <v>80</v>
      </c>
      <c r="J66" s="4" t="s">
        <v>81</v>
      </c>
      <c r="K66" s="4" t="s">
        <v>19</v>
      </c>
      <c r="L66" s="4">
        <v>2</v>
      </c>
      <c r="M66" s="4">
        <v>699.99</v>
      </c>
      <c r="N66" s="4" t="s">
        <v>34</v>
      </c>
      <c r="O66" s="4" t="s">
        <v>63</v>
      </c>
      <c r="P66" s="4" t="s">
        <v>27</v>
      </c>
      <c r="Q66" s="5">
        <v>45389</v>
      </c>
      <c r="R66" s="4">
        <v>1399.98</v>
      </c>
      <c r="S66" s="12">
        <f t="shared" ca="1" si="0"/>
        <v>46038.591457291666</v>
      </c>
      <c r="T66" s="13">
        <f t="shared" ca="1" si="1"/>
        <v>46038</v>
      </c>
      <c r="U66" s="13">
        <f t="shared" si="2"/>
        <v>45504</v>
      </c>
      <c r="V66">
        <v>0</v>
      </c>
    </row>
    <row r="67" spans="5:22" ht="15.75" customHeight="1" x14ac:dyDescent="0.3">
      <c r="E67" s="4" t="s">
        <v>188</v>
      </c>
      <c r="F67" s="5">
        <v>45481</v>
      </c>
      <c r="G67" s="4" t="s">
        <v>96</v>
      </c>
      <c r="H67" s="4" t="s">
        <v>97</v>
      </c>
      <c r="I67" s="4" t="s">
        <v>117</v>
      </c>
      <c r="J67" s="4" t="s">
        <v>118</v>
      </c>
      <c r="K67" s="4" t="s">
        <v>19</v>
      </c>
      <c r="L67" s="4">
        <v>5</v>
      </c>
      <c r="M67" s="4">
        <v>89.99</v>
      </c>
      <c r="N67" s="4" t="s">
        <v>57</v>
      </c>
      <c r="O67" s="4" t="s">
        <v>40</v>
      </c>
      <c r="P67" s="4" t="s">
        <v>27</v>
      </c>
      <c r="Q67" s="5">
        <v>45161</v>
      </c>
      <c r="R67" s="4">
        <v>449.95</v>
      </c>
      <c r="S67" s="12">
        <f t="shared" ref="S67:S130" ca="1" si="3">NOW()</f>
        <v>46038.591457291666</v>
      </c>
      <c r="T67" s="13">
        <f t="shared" ref="T67:T130" ca="1" si="4">TODAY()</f>
        <v>46038</v>
      </c>
      <c r="U67" s="13">
        <f t="shared" ref="U67:U130" si="5">EOMONTH(F67,0)</f>
        <v>45504</v>
      </c>
      <c r="V67">
        <v>0</v>
      </c>
    </row>
    <row r="68" spans="5:22" ht="15.75" customHeight="1" x14ac:dyDescent="0.3">
      <c r="E68" s="4" t="s">
        <v>189</v>
      </c>
      <c r="F68" s="5">
        <v>45482</v>
      </c>
      <c r="G68" s="4" t="s">
        <v>171</v>
      </c>
      <c r="H68" s="4" t="s">
        <v>172</v>
      </c>
      <c r="I68" s="4" t="s">
        <v>31</v>
      </c>
      <c r="J68" s="4" t="s">
        <v>32</v>
      </c>
      <c r="K68" s="4" t="s">
        <v>33</v>
      </c>
      <c r="L68" s="4">
        <v>4</v>
      </c>
      <c r="M68" s="4">
        <v>59.99</v>
      </c>
      <c r="N68" s="4" t="s">
        <v>20</v>
      </c>
      <c r="O68" s="4" t="s">
        <v>35</v>
      </c>
      <c r="P68" s="4" t="s">
        <v>36</v>
      </c>
      <c r="Q68" s="5">
        <v>44509</v>
      </c>
      <c r="R68" s="4">
        <v>239.96</v>
      </c>
      <c r="S68" s="12">
        <f t="shared" ca="1" si="3"/>
        <v>46038.591457291666</v>
      </c>
      <c r="T68" s="13">
        <f t="shared" ca="1" si="4"/>
        <v>46038</v>
      </c>
      <c r="U68" s="13">
        <f t="shared" si="5"/>
        <v>45504</v>
      </c>
      <c r="V68">
        <v>2</v>
      </c>
    </row>
    <row r="69" spans="5:22" ht="15.75" customHeight="1" x14ac:dyDescent="0.3">
      <c r="E69" s="4" t="s">
        <v>190</v>
      </c>
      <c r="F69" s="5">
        <v>45484</v>
      </c>
      <c r="G69" s="4" t="s">
        <v>24</v>
      </c>
      <c r="H69" s="4" t="s">
        <v>25</v>
      </c>
      <c r="I69" s="4" t="s">
        <v>52</v>
      </c>
      <c r="J69" s="4" t="s">
        <v>53</v>
      </c>
      <c r="K69" s="4" t="s">
        <v>19</v>
      </c>
      <c r="L69" s="4">
        <v>1</v>
      </c>
      <c r="M69" s="4">
        <v>149.99</v>
      </c>
      <c r="N69" s="4" t="s">
        <v>20</v>
      </c>
      <c r="O69" s="4" t="s">
        <v>21</v>
      </c>
      <c r="P69" s="4" t="s">
        <v>36</v>
      </c>
      <c r="Q69" s="5">
        <v>44909</v>
      </c>
      <c r="R69" s="4">
        <v>149.99</v>
      </c>
      <c r="S69" s="12">
        <f t="shared" ca="1" si="3"/>
        <v>46038.591457291666</v>
      </c>
      <c r="T69" s="13">
        <f t="shared" ca="1" si="4"/>
        <v>46038</v>
      </c>
      <c r="U69" s="13">
        <f t="shared" si="5"/>
        <v>45504</v>
      </c>
      <c r="V69">
        <v>1</v>
      </c>
    </row>
    <row r="70" spans="5:22" ht="15.75" customHeight="1" x14ac:dyDescent="0.3">
      <c r="E70" s="4" t="s">
        <v>191</v>
      </c>
      <c r="F70" s="5">
        <v>45484</v>
      </c>
      <c r="G70" s="4" t="s">
        <v>192</v>
      </c>
      <c r="H70" s="4" t="s">
        <v>193</v>
      </c>
      <c r="I70" s="4" t="s">
        <v>105</v>
      </c>
      <c r="J70" s="4" t="s">
        <v>106</v>
      </c>
      <c r="K70" s="4" t="s">
        <v>46</v>
      </c>
      <c r="L70" s="4">
        <v>1</v>
      </c>
      <c r="M70" s="4">
        <v>299.99</v>
      </c>
      <c r="N70" s="4" t="s">
        <v>26</v>
      </c>
      <c r="O70" s="4" t="s">
        <v>40</v>
      </c>
      <c r="P70" s="4" t="s">
        <v>27</v>
      </c>
      <c r="Q70" s="5">
        <v>44891</v>
      </c>
      <c r="R70" s="4">
        <v>299.99</v>
      </c>
      <c r="S70" s="12">
        <f t="shared" ca="1" si="3"/>
        <v>46038.591457291666</v>
      </c>
      <c r="T70" s="13">
        <f t="shared" ca="1" si="4"/>
        <v>46038</v>
      </c>
      <c r="U70" s="13">
        <f t="shared" si="5"/>
        <v>45504</v>
      </c>
      <c r="V70">
        <v>1</v>
      </c>
    </row>
    <row r="71" spans="5:22" ht="15.75" customHeight="1" x14ac:dyDescent="0.3">
      <c r="E71" s="4" t="s">
        <v>194</v>
      </c>
      <c r="F71" s="5">
        <v>45487</v>
      </c>
      <c r="G71" s="4" t="s">
        <v>192</v>
      </c>
      <c r="H71" s="4" t="s">
        <v>193</v>
      </c>
      <c r="I71" s="4" t="s">
        <v>126</v>
      </c>
      <c r="J71" s="4" t="s">
        <v>127</v>
      </c>
      <c r="K71" s="4" t="s">
        <v>46</v>
      </c>
      <c r="L71" s="4">
        <v>2</v>
      </c>
      <c r="M71" s="4">
        <v>199.99</v>
      </c>
      <c r="N71" s="4" t="s">
        <v>20</v>
      </c>
      <c r="O71" s="4" t="s">
        <v>40</v>
      </c>
      <c r="P71" s="4" t="s">
        <v>22</v>
      </c>
      <c r="Q71" s="5">
        <v>44541</v>
      </c>
      <c r="R71" s="4">
        <v>399.98</v>
      </c>
      <c r="S71" s="12">
        <f t="shared" ca="1" si="3"/>
        <v>46038.591457291666</v>
      </c>
      <c r="T71" s="13">
        <f t="shared" ca="1" si="4"/>
        <v>46038</v>
      </c>
      <c r="U71" s="13">
        <f t="shared" si="5"/>
        <v>45504</v>
      </c>
      <c r="V71">
        <v>2</v>
      </c>
    </row>
    <row r="72" spans="5:22" ht="15.75" customHeight="1" x14ac:dyDescent="0.3">
      <c r="E72" s="4" t="s">
        <v>195</v>
      </c>
      <c r="F72" s="5">
        <v>45490</v>
      </c>
      <c r="G72" s="4" t="s">
        <v>196</v>
      </c>
      <c r="H72" s="4" t="s">
        <v>197</v>
      </c>
      <c r="I72" s="4" t="s">
        <v>31</v>
      </c>
      <c r="J72" s="4" t="s">
        <v>32</v>
      </c>
      <c r="K72" s="4" t="s">
        <v>33</v>
      </c>
      <c r="L72" s="4">
        <v>3</v>
      </c>
      <c r="M72" s="4">
        <v>59.99</v>
      </c>
      <c r="N72" s="4" t="s">
        <v>26</v>
      </c>
      <c r="O72" s="4" t="s">
        <v>50</v>
      </c>
      <c r="P72" s="4" t="s">
        <v>22</v>
      </c>
      <c r="Q72" s="5">
        <v>45130</v>
      </c>
      <c r="R72" s="4">
        <v>179.97</v>
      </c>
      <c r="S72" s="12">
        <f t="shared" ca="1" si="3"/>
        <v>46038.591457291666</v>
      </c>
      <c r="T72" s="13">
        <f t="shared" ca="1" si="4"/>
        <v>46038</v>
      </c>
      <c r="U72" s="13">
        <f t="shared" si="5"/>
        <v>45504</v>
      </c>
      <c r="V72">
        <v>0</v>
      </c>
    </row>
    <row r="73" spans="5:22" ht="15.75" customHeight="1" x14ac:dyDescent="0.3">
      <c r="E73" s="4" t="s">
        <v>198</v>
      </c>
      <c r="F73" s="5">
        <v>45490</v>
      </c>
      <c r="G73" s="4" t="s">
        <v>72</v>
      </c>
      <c r="H73" s="4" t="s">
        <v>73</v>
      </c>
      <c r="I73" s="4" t="s">
        <v>44</v>
      </c>
      <c r="J73" s="4" t="s">
        <v>45</v>
      </c>
      <c r="K73" s="4" t="s">
        <v>46</v>
      </c>
      <c r="L73" s="4">
        <v>3</v>
      </c>
      <c r="M73" s="4">
        <v>149.99</v>
      </c>
      <c r="N73" s="4" t="s">
        <v>20</v>
      </c>
      <c r="O73" s="4" t="s">
        <v>21</v>
      </c>
      <c r="P73" s="4" t="s">
        <v>27</v>
      </c>
      <c r="Q73" s="5">
        <v>45199</v>
      </c>
      <c r="R73" s="4">
        <v>449.97</v>
      </c>
      <c r="S73" s="12">
        <f t="shared" ca="1" si="3"/>
        <v>46038.591457291666</v>
      </c>
      <c r="T73" s="13">
        <f t="shared" ca="1" si="4"/>
        <v>46038</v>
      </c>
      <c r="U73" s="13">
        <f t="shared" si="5"/>
        <v>45504</v>
      </c>
      <c r="V73">
        <v>0</v>
      </c>
    </row>
    <row r="74" spans="5:22" ht="15.75" customHeight="1" x14ac:dyDescent="0.3">
      <c r="E74" s="4" t="s">
        <v>199</v>
      </c>
      <c r="F74" s="5">
        <v>45491</v>
      </c>
      <c r="G74" s="4" t="s">
        <v>65</v>
      </c>
      <c r="H74" s="4" t="s">
        <v>66</v>
      </c>
      <c r="I74" s="4" t="s">
        <v>126</v>
      </c>
      <c r="J74" s="4" t="s">
        <v>127</v>
      </c>
      <c r="K74" s="4" t="s">
        <v>46</v>
      </c>
      <c r="L74" s="4">
        <v>3</v>
      </c>
      <c r="M74" s="4">
        <v>199.99</v>
      </c>
      <c r="N74" s="4" t="s">
        <v>20</v>
      </c>
      <c r="O74" s="4" t="s">
        <v>40</v>
      </c>
      <c r="P74" s="4" t="s">
        <v>27</v>
      </c>
      <c r="Q74" s="5">
        <v>45254</v>
      </c>
      <c r="R74" s="4">
        <v>599.97</v>
      </c>
      <c r="S74" s="12">
        <f t="shared" ca="1" si="3"/>
        <v>46038.591457291666</v>
      </c>
      <c r="T74" s="13">
        <f t="shared" ca="1" si="4"/>
        <v>46038</v>
      </c>
      <c r="U74" s="13">
        <f t="shared" si="5"/>
        <v>45504</v>
      </c>
      <c r="V74">
        <v>0</v>
      </c>
    </row>
    <row r="75" spans="5:22" ht="15.75" customHeight="1" x14ac:dyDescent="0.3">
      <c r="E75" s="4" t="s">
        <v>200</v>
      </c>
      <c r="F75" s="5">
        <v>45496</v>
      </c>
      <c r="G75" s="4" t="s">
        <v>150</v>
      </c>
      <c r="H75" s="4" t="s">
        <v>151</v>
      </c>
      <c r="I75" s="4" t="s">
        <v>61</v>
      </c>
      <c r="J75" s="4" t="s">
        <v>62</v>
      </c>
      <c r="K75" s="4" t="s">
        <v>19</v>
      </c>
      <c r="L75" s="4">
        <v>1</v>
      </c>
      <c r="M75" s="4">
        <v>899.99</v>
      </c>
      <c r="N75" s="4" t="s">
        <v>20</v>
      </c>
      <c r="O75" s="4" t="s">
        <v>21</v>
      </c>
      <c r="P75" s="4" t="s">
        <v>36</v>
      </c>
      <c r="Q75" s="5">
        <v>45179</v>
      </c>
      <c r="R75" s="4">
        <v>899.99</v>
      </c>
      <c r="S75" s="12">
        <f t="shared" ca="1" si="3"/>
        <v>46038.591457291666</v>
      </c>
      <c r="T75" s="13">
        <f t="shared" ca="1" si="4"/>
        <v>46038</v>
      </c>
      <c r="U75" s="13">
        <f t="shared" si="5"/>
        <v>45504</v>
      </c>
      <c r="V75">
        <v>0</v>
      </c>
    </row>
    <row r="76" spans="5:22" ht="15.75" customHeight="1" x14ac:dyDescent="0.3">
      <c r="E76" s="4" t="s">
        <v>201</v>
      </c>
      <c r="F76" s="5">
        <v>45497</v>
      </c>
      <c r="G76" s="4" t="s">
        <v>24</v>
      </c>
      <c r="H76" s="4" t="s">
        <v>25</v>
      </c>
      <c r="I76" s="4" t="s">
        <v>61</v>
      </c>
      <c r="J76" s="4" t="s">
        <v>62</v>
      </c>
      <c r="K76" s="4" t="s">
        <v>19</v>
      </c>
      <c r="L76" s="4">
        <v>5</v>
      </c>
      <c r="M76" s="4">
        <v>899.99</v>
      </c>
      <c r="N76" s="4" t="s">
        <v>57</v>
      </c>
      <c r="O76" s="4" t="s">
        <v>35</v>
      </c>
      <c r="P76" s="4" t="s">
        <v>36</v>
      </c>
      <c r="Q76" s="5">
        <v>44899</v>
      </c>
      <c r="R76" s="4">
        <v>4499.95</v>
      </c>
      <c r="S76" s="12">
        <f t="shared" ca="1" si="3"/>
        <v>46038.591457291666</v>
      </c>
      <c r="T76" s="13">
        <f t="shared" ca="1" si="4"/>
        <v>46038</v>
      </c>
      <c r="U76" s="13">
        <f t="shared" si="5"/>
        <v>45504</v>
      </c>
      <c r="V76">
        <v>1</v>
      </c>
    </row>
    <row r="77" spans="5:22" ht="15.75" customHeight="1" x14ac:dyDescent="0.3">
      <c r="E77" s="4" t="s">
        <v>202</v>
      </c>
      <c r="F77" s="5">
        <v>45498</v>
      </c>
      <c r="G77" s="4" t="s">
        <v>182</v>
      </c>
      <c r="H77" s="4" t="s">
        <v>183</v>
      </c>
      <c r="I77" s="4" t="s">
        <v>31</v>
      </c>
      <c r="J77" s="4" t="s">
        <v>32</v>
      </c>
      <c r="K77" s="4" t="s">
        <v>33</v>
      </c>
      <c r="L77" s="4">
        <v>2</v>
      </c>
      <c r="M77" s="4">
        <v>59.99</v>
      </c>
      <c r="N77" s="4" t="s">
        <v>20</v>
      </c>
      <c r="O77" s="4" t="s">
        <v>40</v>
      </c>
      <c r="P77" s="4" t="s">
        <v>36</v>
      </c>
      <c r="Q77" s="5">
        <v>45152</v>
      </c>
      <c r="R77" s="4">
        <v>119.98</v>
      </c>
      <c r="S77" s="12">
        <f t="shared" ca="1" si="3"/>
        <v>46038.591457291666</v>
      </c>
      <c r="T77" s="13">
        <f t="shared" ca="1" si="4"/>
        <v>46038</v>
      </c>
      <c r="U77" s="13">
        <f t="shared" si="5"/>
        <v>45504</v>
      </c>
      <c r="V77">
        <v>0</v>
      </c>
    </row>
    <row r="78" spans="5:22" ht="15.75" customHeight="1" x14ac:dyDescent="0.3">
      <c r="E78" s="4" t="s">
        <v>203</v>
      </c>
      <c r="F78" s="5">
        <v>45498</v>
      </c>
      <c r="G78" s="4" t="s">
        <v>196</v>
      </c>
      <c r="H78" s="4" t="s">
        <v>197</v>
      </c>
      <c r="I78" s="4" t="s">
        <v>17</v>
      </c>
      <c r="J78" s="4" t="s">
        <v>18</v>
      </c>
      <c r="K78" s="4" t="s">
        <v>19</v>
      </c>
      <c r="L78" s="4">
        <v>4</v>
      </c>
      <c r="M78" s="4">
        <v>249.99</v>
      </c>
      <c r="N78" s="4" t="s">
        <v>57</v>
      </c>
      <c r="O78" s="4" t="s">
        <v>21</v>
      </c>
      <c r="P78" s="4" t="s">
        <v>36</v>
      </c>
      <c r="Q78" s="5">
        <v>45127</v>
      </c>
      <c r="R78" s="4">
        <v>999.96</v>
      </c>
      <c r="S78" s="12">
        <f t="shared" ca="1" si="3"/>
        <v>46038.591457291666</v>
      </c>
      <c r="T78" s="13">
        <f t="shared" ca="1" si="4"/>
        <v>46038</v>
      </c>
      <c r="U78" s="13">
        <f t="shared" si="5"/>
        <v>45504</v>
      </c>
      <c r="V78">
        <v>1</v>
      </c>
    </row>
    <row r="79" spans="5:22" ht="15.75" customHeight="1" x14ac:dyDescent="0.3">
      <c r="E79" s="4" t="s">
        <v>204</v>
      </c>
      <c r="F79" s="5">
        <v>45500</v>
      </c>
      <c r="G79" s="4" t="s">
        <v>96</v>
      </c>
      <c r="H79" s="4" t="s">
        <v>97</v>
      </c>
      <c r="I79" s="4" t="s">
        <v>17</v>
      </c>
      <c r="J79" s="4" t="s">
        <v>18</v>
      </c>
      <c r="K79" s="4" t="s">
        <v>19</v>
      </c>
      <c r="L79" s="4">
        <v>2</v>
      </c>
      <c r="M79" s="4">
        <v>249.99</v>
      </c>
      <c r="N79" s="4" t="s">
        <v>20</v>
      </c>
      <c r="O79" s="4" t="s">
        <v>40</v>
      </c>
      <c r="P79" s="4" t="s">
        <v>27</v>
      </c>
      <c r="Q79" s="5">
        <v>45164</v>
      </c>
      <c r="R79" s="4">
        <v>499.98</v>
      </c>
      <c r="S79" s="12">
        <f t="shared" ca="1" si="3"/>
        <v>46038.591457291666</v>
      </c>
      <c r="T79" s="13">
        <f t="shared" ca="1" si="4"/>
        <v>46038</v>
      </c>
      <c r="U79" s="13">
        <f t="shared" si="5"/>
        <v>45504</v>
      </c>
      <c r="V79">
        <v>0</v>
      </c>
    </row>
    <row r="80" spans="5:22" ht="15.75" customHeight="1" x14ac:dyDescent="0.3">
      <c r="E80" s="4" t="s">
        <v>205</v>
      </c>
      <c r="F80" s="5">
        <v>45500</v>
      </c>
      <c r="G80" s="4" t="s">
        <v>147</v>
      </c>
      <c r="H80" s="4" t="s">
        <v>148</v>
      </c>
      <c r="I80" s="4" t="s">
        <v>105</v>
      </c>
      <c r="J80" s="4" t="s">
        <v>106</v>
      </c>
      <c r="K80" s="4" t="s">
        <v>46</v>
      </c>
      <c r="L80" s="4">
        <v>1</v>
      </c>
      <c r="M80" s="4">
        <v>299.99</v>
      </c>
      <c r="N80" s="4" t="s">
        <v>20</v>
      </c>
      <c r="O80" s="4" t="s">
        <v>35</v>
      </c>
      <c r="P80" s="4" t="s">
        <v>22</v>
      </c>
      <c r="Q80" s="5">
        <v>44982</v>
      </c>
      <c r="R80" s="4">
        <v>299.99</v>
      </c>
      <c r="S80" s="12">
        <f t="shared" ca="1" si="3"/>
        <v>46038.591457291666</v>
      </c>
      <c r="T80" s="13">
        <f t="shared" ca="1" si="4"/>
        <v>46038</v>
      </c>
      <c r="U80" s="13">
        <f t="shared" si="5"/>
        <v>45504</v>
      </c>
      <c r="V80">
        <v>1</v>
      </c>
    </row>
    <row r="81" spans="5:22" ht="15.75" customHeight="1" x14ac:dyDescent="0.3">
      <c r="E81" s="4" t="s">
        <v>206</v>
      </c>
      <c r="F81" s="5">
        <v>45501</v>
      </c>
      <c r="G81" s="4" t="s">
        <v>86</v>
      </c>
      <c r="H81" s="4" t="s">
        <v>87</v>
      </c>
      <c r="I81" s="4" t="s">
        <v>117</v>
      </c>
      <c r="J81" s="4" t="s">
        <v>118</v>
      </c>
      <c r="K81" s="4" t="s">
        <v>19</v>
      </c>
      <c r="L81" s="4">
        <v>2</v>
      </c>
      <c r="M81" s="4">
        <v>89.99</v>
      </c>
      <c r="N81" s="4" t="s">
        <v>34</v>
      </c>
      <c r="O81" s="4" t="s">
        <v>35</v>
      </c>
      <c r="P81" s="4" t="s">
        <v>22</v>
      </c>
      <c r="Q81" s="5">
        <v>44976</v>
      </c>
      <c r="R81" s="4">
        <v>179.98</v>
      </c>
      <c r="S81" s="12">
        <f t="shared" ca="1" si="3"/>
        <v>46038.591457291666</v>
      </c>
      <c r="T81" s="13">
        <f t="shared" ca="1" si="4"/>
        <v>46038</v>
      </c>
      <c r="U81" s="13">
        <f t="shared" si="5"/>
        <v>45504</v>
      </c>
      <c r="V81">
        <v>1</v>
      </c>
    </row>
    <row r="82" spans="5:22" ht="15.75" customHeight="1" x14ac:dyDescent="0.3">
      <c r="E82" s="4" t="s">
        <v>207</v>
      </c>
      <c r="F82" s="5">
        <v>45501</v>
      </c>
      <c r="G82" s="4" t="s">
        <v>147</v>
      </c>
      <c r="H82" s="4" t="s">
        <v>148</v>
      </c>
      <c r="I82" s="4" t="s">
        <v>105</v>
      </c>
      <c r="J82" s="4" t="s">
        <v>106</v>
      </c>
      <c r="K82" s="4" t="s">
        <v>46</v>
      </c>
      <c r="L82" s="4">
        <v>3</v>
      </c>
      <c r="M82" s="4">
        <v>299.99</v>
      </c>
      <c r="N82" s="4" t="s">
        <v>20</v>
      </c>
      <c r="O82" s="4" t="s">
        <v>21</v>
      </c>
      <c r="P82" s="4" t="s">
        <v>22</v>
      </c>
      <c r="Q82" s="5">
        <v>44732</v>
      </c>
      <c r="R82" s="4">
        <v>899.97</v>
      </c>
      <c r="S82" s="12">
        <f t="shared" ca="1" si="3"/>
        <v>46038.591457291666</v>
      </c>
      <c r="T82" s="13">
        <f t="shared" ca="1" si="4"/>
        <v>46038</v>
      </c>
      <c r="U82" s="13">
        <f t="shared" si="5"/>
        <v>45504</v>
      </c>
      <c r="V82">
        <v>2</v>
      </c>
    </row>
    <row r="83" spans="5:22" ht="15.75" customHeight="1" x14ac:dyDescent="0.3">
      <c r="E83" s="4" t="s">
        <v>208</v>
      </c>
      <c r="F83" s="5">
        <v>45503</v>
      </c>
      <c r="G83" s="4" t="s">
        <v>86</v>
      </c>
      <c r="H83" s="4" t="s">
        <v>87</v>
      </c>
      <c r="I83" s="4" t="s">
        <v>80</v>
      </c>
      <c r="J83" s="4" t="s">
        <v>81</v>
      </c>
      <c r="K83" s="4" t="s">
        <v>19</v>
      </c>
      <c r="L83" s="4">
        <v>2</v>
      </c>
      <c r="M83" s="4">
        <v>699.99</v>
      </c>
      <c r="N83" s="4" t="s">
        <v>26</v>
      </c>
      <c r="O83" s="4" t="s">
        <v>40</v>
      </c>
      <c r="P83" s="4" t="s">
        <v>27</v>
      </c>
      <c r="Q83" s="5">
        <v>44999</v>
      </c>
      <c r="R83" s="4">
        <v>1399.98</v>
      </c>
      <c r="S83" s="12">
        <f t="shared" ca="1" si="3"/>
        <v>46038.591457291666</v>
      </c>
      <c r="T83" s="13">
        <f t="shared" ca="1" si="4"/>
        <v>46038</v>
      </c>
      <c r="U83" s="13">
        <f t="shared" si="5"/>
        <v>45504</v>
      </c>
      <c r="V83">
        <v>1</v>
      </c>
    </row>
    <row r="84" spans="5:22" ht="15.75" customHeight="1" x14ac:dyDescent="0.3">
      <c r="E84" s="4" t="s">
        <v>209</v>
      </c>
      <c r="F84" s="5">
        <v>45504</v>
      </c>
      <c r="G84" s="4" t="s">
        <v>120</v>
      </c>
      <c r="H84" s="4" t="s">
        <v>121</v>
      </c>
      <c r="I84" s="4" t="s">
        <v>61</v>
      </c>
      <c r="J84" s="4" t="s">
        <v>62</v>
      </c>
      <c r="K84" s="4" t="s">
        <v>19</v>
      </c>
      <c r="L84" s="4">
        <v>4</v>
      </c>
      <c r="M84" s="4">
        <v>899.99</v>
      </c>
      <c r="N84" s="4" t="s">
        <v>57</v>
      </c>
      <c r="O84" s="4" t="s">
        <v>35</v>
      </c>
      <c r="P84" s="4" t="s">
        <v>36</v>
      </c>
      <c r="Q84" s="5">
        <v>44523</v>
      </c>
      <c r="R84" s="4">
        <v>3599.96</v>
      </c>
      <c r="S84" s="12">
        <f t="shared" ca="1" si="3"/>
        <v>46038.591457291666</v>
      </c>
      <c r="T84" s="13">
        <f t="shared" ca="1" si="4"/>
        <v>46038</v>
      </c>
      <c r="U84" s="13">
        <f t="shared" si="5"/>
        <v>45504</v>
      </c>
      <c r="V84">
        <v>2</v>
      </c>
    </row>
    <row r="85" spans="5:22" ht="15.75" customHeight="1" x14ac:dyDescent="0.3">
      <c r="E85" s="4" t="s">
        <v>210</v>
      </c>
      <c r="F85" s="5">
        <v>45509</v>
      </c>
      <c r="G85" s="4" t="s">
        <v>211</v>
      </c>
      <c r="H85" s="4" t="s">
        <v>212</v>
      </c>
      <c r="I85" s="4" t="s">
        <v>44</v>
      </c>
      <c r="J85" s="4" t="s">
        <v>45</v>
      </c>
      <c r="K85" s="4" t="s">
        <v>46</v>
      </c>
      <c r="L85" s="4">
        <v>2</v>
      </c>
      <c r="M85" s="4">
        <v>149.99</v>
      </c>
      <c r="N85" s="4" t="s">
        <v>26</v>
      </c>
      <c r="O85" s="4" t="s">
        <v>50</v>
      </c>
      <c r="P85" s="4" t="s">
        <v>22</v>
      </c>
      <c r="Q85" s="5">
        <v>44542</v>
      </c>
      <c r="R85" s="4">
        <v>299.98</v>
      </c>
      <c r="S85" s="12">
        <f t="shared" ca="1" si="3"/>
        <v>46038.591457291666</v>
      </c>
      <c r="T85" s="13">
        <f t="shared" ca="1" si="4"/>
        <v>46038</v>
      </c>
      <c r="U85" s="13">
        <f t="shared" si="5"/>
        <v>45535</v>
      </c>
      <c r="V85">
        <v>2</v>
      </c>
    </row>
    <row r="86" spans="5:22" ht="15.75" customHeight="1" x14ac:dyDescent="0.3">
      <c r="E86" s="4" t="s">
        <v>213</v>
      </c>
      <c r="F86" s="5">
        <v>45510</v>
      </c>
      <c r="G86" s="4" t="s">
        <v>102</v>
      </c>
      <c r="H86" s="4" t="s">
        <v>103</v>
      </c>
      <c r="I86" s="4" t="s">
        <v>44</v>
      </c>
      <c r="J86" s="4" t="s">
        <v>45</v>
      </c>
      <c r="K86" s="4" t="s">
        <v>46</v>
      </c>
      <c r="L86" s="4">
        <v>2</v>
      </c>
      <c r="M86" s="4">
        <v>149.99</v>
      </c>
      <c r="N86" s="4" t="s">
        <v>57</v>
      </c>
      <c r="O86" s="4" t="s">
        <v>63</v>
      </c>
      <c r="P86" s="4" t="s">
        <v>36</v>
      </c>
      <c r="Q86" s="5">
        <v>44667</v>
      </c>
      <c r="R86" s="4">
        <v>299.98</v>
      </c>
      <c r="S86" s="12">
        <f t="shared" ca="1" si="3"/>
        <v>46038.591457291666</v>
      </c>
      <c r="T86" s="13">
        <f t="shared" ca="1" si="4"/>
        <v>46038</v>
      </c>
      <c r="U86" s="13">
        <f t="shared" si="5"/>
        <v>45535</v>
      </c>
      <c r="V86">
        <v>2</v>
      </c>
    </row>
    <row r="87" spans="5:22" ht="15.75" customHeight="1" x14ac:dyDescent="0.3">
      <c r="E87" s="4" t="s">
        <v>214</v>
      </c>
      <c r="F87" s="5">
        <v>45513</v>
      </c>
      <c r="G87" s="4" t="s">
        <v>89</v>
      </c>
      <c r="H87" s="4" t="s">
        <v>90</v>
      </c>
      <c r="I87" s="4" t="s">
        <v>117</v>
      </c>
      <c r="J87" s="4" t="s">
        <v>118</v>
      </c>
      <c r="K87" s="4" t="s">
        <v>19</v>
      </c>
      <c r="L87" s="4">
        <v>1</v>
      </c>
      <c r="M87" s="4">
        <v>89.99</v>
      </c>
      <c r="N87" s="4" t="s">
        <v>26</v>
      </c>
      <c r="O87" s="4" t="s">
        <v>40</v>
      </c>
      <c r="P87" s="4" t="s">
        <v>36</v>
      </c>
      <c r="Q87" s="5">
        <v>45393</v>
      </c>
      <c r="R87" s="4">
        <v>89.99</v>
      </c>
      <c r="S87" s="12">
        <f t="shared" ca="1" si="3"/>
        <v>46038.591457291666</v>
      </c>
      <c r="T87" s="13">
        <f t="shared" ca="1" si="4"/>
        <v>46038</v>
      </c>
      <c r="U87" s="13">
        <f t="shared" si="5"/>
        <v>45535</v>
      </c>
      <c r="V87">
        <v>0</v>
      </c>
    </row>
    <row r="88" spans="5:22" ht="15.75" customHeight="1" x14ac:dyDescent="0.3">
      <c r="E88" s="4" t="s">
        <v>215</v>
      </c>
      <c r="F88" s="5">
        <v>45515</v>
      </c>
      <c r="G88" s="4" t="s">
        <v>86</v>
      </c>
      <c r="H88" s="4" t="s">
        <v>87</v>
      </c>
      <c r="I88" s="4" t="s">
        <v>105</v>
      </c>
      <c r="J88" s="4" t="s">
        <v>106</v>
      </c>
      <c r="K88" s="4" t="s">
        <v>46</v>
      </c>
      <c r="L88" s="4">
        <v>5</v>
      </c>
      <c r="M88" s="4">
        <v>299.99</v>
      </c>
      <c r="N88" s="4" t="s">
        <v>26</v>
      </c>
      <c r="O88" s="4" t="s">
        <v>40</v>
      </c>
      <c r="P88" s="4" t="s">
        <v>22</v>
      </c>
      <c r="Q88" s="5">
        <v>44965</v>
      </c>
      <c r="R88" s="4">
        <v>1499.95</v>
      </c>
      <c r="S88" s="12">
        <f t="shared" ca="1" si="3"/>
        <v>46038.591457291666</v>
      </c>
      <c r="T88" s="13">
        <f t="shared" ca="1" si="4"/>
        <v>46038</v>
      </c>
      <c r="U88" s="13">
        <f t="shared" si="5"/>
        <v>45535</v>
      </c>
      <c r="V88">
        <v>1</v>
      </c>
    </row>
    <row r="89" spans="5:22" ht="15.75" customHeight="1" x14ac:dyDescent="0.3">
      <c r="E89" s="4" t="s">
        <v>216</v>
      </c>
      <c r="F89" s="5">
        <v>45517</v>
      </c>
      <c r="G89" s="4" t="s">
        <v>182</v>
      </c>
      <c r="H89" s="4" t="s">
        <v>183</v>
      </c>
      <c r="I89" s="4" t="s">
        <v>52</v>
      </c>
      <c r="J89" s="4" t="s">
        <v>53</v>
      </c>
      <c r="K89" s="4" t="s">
        <v>19</v>
      </c>
      <c r="L89" s="4">
        <v>4</v>
      </c>
      <c r="M89" s="4">
        <v>149.99</v>
      </c>
      <c r="N89" s="4" t="s">
        <v>57</v>
      </c>
      <c r="O89" s="4" t="s">
        <v>35</v>
      </c>
      <c r="P89" s="4" t="s">
        <v>27</v>
      </c>
      <c r="Q89" s="5">
        <v>44820</v>
      </c>
      <c r="R89" s="4">
        <v>599.96</v>
      </c>
      <c r="S89" s="12">
        <f t="shared" ca="1" si="3"/>
        <v>46038.591457291666</v>
      </c>
      <c r="T89" s="13">
        <f t="shared" ca="1" si="4"/>
        <v>46038</v>
      </c>
      <c r="U89" s="13">
        <f t="shared" si="5"/>
        <v>45535</v>
      </c>
      <c r="V89">
        <v>1</v>
      </c>
    </row>
    <row r="90" spans="5:22" ht="15.75" customHeight="1" x14ac:dyDescent="0.3">
      <c r="E90" s="4" t="s">
        <v>217</v>
      </c>
      <c r="F90" s="5">
        <v>45517</v>
      </c>
      <c r="G90" s="4" t="s">
        <v>185</v>
      </c>
      <c r="H90" s="4" t="s">
        <v>186</v>
      </c>
      <c r="I90" s="4" t="s">
        <v>17</v>
      </c>
      <c r="J90" s="4" t="s">
        <v>18</v>
      </c>
      <c r="K90" s="4" t="s">
        <v>19</v>
      </c>
      <c r="L90" s="4">
        <v>5</v>
      </c>
      <c r="M90" s="4">
        <v>249.99</v>
      </c>
      <c r="N90" s="4" t="s">
        <v>34</v>
      </c>
      <c r="O90" s="4" t="s">
        <v>63</v>
      </c>
      <c r="P90" s="4" t="s">
        <v>27</v>
      </c>
      <c r="Q90" s="5">
        <v>44782</v>
      </c>
      <c r="R90" s="4">
        <v>1249.95</v>
      </c>
      <c r="S90" s="12">
        <f t="shared" ca="1" si="3"/>
        <v>46038.591457291666</v>
      </c>
      <c r="T90" s="13">
        <f t="shared" ca="1" si="4"/>
        <v>46038</v>
      </c>
      <c r="U90" s="13">
        <f t="shared" si="5"/>
        <v>45535</v>
      </c>
      <c r="V90">
        <v>2</v>
      </c>
    </row>
    <row r="91" spans="5:22" ht="15.75" customHeight="1" x14ac:dyDescent="0.3">
      <c r="E91" s="4" t="s">
        <v>218</v>
      </c>
      <c r="F91" s="5">
        <v>45517</v>
      </c>
      <c r="G91" s="4" t="s">
        <v>65</v>
      </c>
      <c r="H91" s="4" t="s">
        <v>66</v>
      </c>
      <c r="I91" s="4" t="s">
        <v>17</v>
      </c>
      <c r="J91" s="4" t="s">
        <v>18</v>
      </c>
      <c r="K91" s="4" t="s">
        <v>19</v>
      </c>
      <c r="L91" s="4">
        <v>3</v>
      </c>
      <c r="M91" s="4">
        <v>249.99</v>
      </c>
      <c r="N91" s="4" t="s">
        <v>34</v>
      </c>
      <c r="O91" s="4" t="s">
        <v>40</v>
      </c>
      <c r="P91" s="4" t="s">
        <v>27</v>
      </c>
      <c r="Q91" s="5">
        <v>44465</v>
      </c>
      <c r="R91" s="4">
        <v>749.97</v>
      </c>
      <c r="S91" s="12">
        <f t="shared" ca="1" si="3"/>
        <v>46038.591457291666</v>
      </c>
      <c r="T91" s="13">
        <f t="shared" ca="1" si="4"/>
        <v>46038</v>
      </c>
      <c r="U91" s="13">
        <f t="shared" si="5"/>
        <v>45535</v>
      </c>
      <c r="V91">
        <v>2</v>
      </c>
    </row>
    <row r="92" spans="5:22" ht="15.75" customHeight="1" x14ac:dyDescent="0.3">
      <c r="E92" s="4" t="s">
        <v>219</v>
      </c>
      <c r="F92" s="5">
        <v>45517</v>
      </c>
      <c r="G92" s="4" t="s">
        <v>38</v>
      </c>
      <c r="H92" s="4" t="s">
        <v>39</v>
      </c>
      <c r="I92" s="4" t="s">
        <v>126</v>
      </c>
      <c r="J92" s="4" t="s">
        <v>127</v>
      </c>
      <c r="K92" s="4" t="s">
        <v>46</v>
      </c>
      <c r="L92" s="4">
        <v>4</v>
      </c>
      <c r="M92" s="4">
        <v>199.99</v>
      </c>
      <c r="N92" s="4" t="s">
        <v>20</v>
      </c>
      <c r="O92" s="4" t="s">
        <v>40</v>
      </c>
      <c r="P92" s="4" t="s">
        <v>36</v>
      </c>
      <c r="Q92" s="5">
        <v>44458</v>
      </c>
      <c r="R92" s="4">
        <v>799.96</v>
      </c>
      <c r="S92" s="12">
        <f t="shared" ca="1" si="3"/>
        <v>46038.591457291666</v>
      </c>
      <c r="T92" s="13">
        <f t="shared" ca="1" si="4"/>
        <v>46038</v>
      </c>
      <c r="U92" s="13">
        <f t="shared" si="5"/>
        <v>45535</v>
      </c>
      <c r="V92">
        <v>2</v>
      </c>
    </row>
    <row r="93" spans="5:22" ht="15.75" customHeight="1" x14ac:dyDescent="0.3">
      <c r="E93" s="4" t="s">
        <v>220</v>
      </c>
      <c r="F93" s="5">
        <v>45519</v>
      </c>
      <c r="G93" s="4" t="s">
        <v>158</v>
      </c>
      <c r="H93" s="4" t="s">
        <v>159</v>
      </c>
      <c r="I93" s="4" t="s">
        <v>126</v>
      </c>
      <c r="J93" s="4" t="s">
        <v>127</v>
      </c>
      <c r="K93" s="4" t="s">
        <v>46</v>
      </c>
      <c r="L93" s="4">
        <v>5</v>
      </c>
      <c r="M93" s="4">
        <v>199.99</v>
      </c>
      <c r="N93" s="4" t="s">
        <v>20</v>
      </c>
      <c r="O93" s="4" t="s">
        <v>40</v>
      </c>
      <c r="P93" s="4" t="s">
        <v>27</v>
      </c>
      <c r="Q93" s="5">
        <v>44991</v>
      </c>
      <c r="R93" s="4">
        <v>999.95</v>
      </c>
      <c r="S93" s="12">
        <f t="shared" ca="1" si="3"/>
        <v>46038.591457291666</v>
      </c>
      <c r="T93" s="13">
        <f t="shared" ca="1" si="4"/>
        <v>46038</v>
      </c>
      <c r="U93" s="13">
        <f t="shared" si="5"/>
        <v>45535</v>
      </c>
      <c r="V93">
        <v>1</v>
      </c>
    </row>
    <row r="94" spans="5:22" ht="15.75" customHeight="1" x14ac:dyDescent="0.3">
      <c r="E94" s="4" t="s">
        <v>221</v>
      </c>
      <c r="F94" s="5">
        <v>45522</v>
      </c>
      <c r="G94" s="4" t="s">
        <v>86</v>
      </c>
      <c r="H94" s="4" t="s">
        <v>87</v>
      </c>
      <c r="I94" s="4" t="s">
        <v>117</v>
      </c>
      <c r="J94" s="4" t="s">
        <v>118</v>
      </c>
      <c r="K94" s="4" t="s">
        <v>19</v>
      </c>
      <c r="L94" s="4">
        <v>2</v>
      </c>
      <c r="M94" s="4">
        <v>89.99</v>
      </c>
      <c r="N94" s="4" t="s">
        <v>20</v>
      </c>
      <c r="O94" s="4" t="s">
        <v>63</v>
      </c>
      <c r="P94" s="4" t="s">
        <v>27</v>
      </c>
      <c r="Q94" s="5">
        <v>44972</v>
      </c>
      <c r="R94" s="4">
        <v>179.98</v>
      </c>
      <c r="S94" s="12">
        <f t="shared" ca="1" si="3"/>
        <v>46038.591457291666</v>
      </c>
      <c r="T94" s="13">
        <f t="shared" ca="1" si="4"/>
        <v>46038</v>
      </c>
      <c r="U94" s="13">
        <f t="shared" si="5"/>
        <v>45535</v>
      </c>
      <c r="V94">
        <v>1</v>
      </c>
    </row>
    <row r="95" spans="5:22" ht="15.75" customHeight="1" x14ac:dyDescent="0.3">
      <c r="E95" s="4" t="s">
        <v>222</v>
      </c>
      <c r="F95" s="5">
        <v>45523</v>
      </c>
      <c r="G95" s="4" t="s">
        <v>196</v>
      </c>
      <c r="H95" s="4" t="s">
        <v>197</v>
      </c>
      <c r="I95" s="4" t="s">
        <v>61</v>
      </c>
      <c r="J95" s="4" t="s">
        <v>62</v>
      </c>
      <c r="K95" s="4" t="s">
        <v>19</v>
      </c>
      <c r="L95" s="4">
        <v>5</v>
      </c>
      <c r="M95" s="4">
        <v>899.99</v>
      </c>
      <c r="N95" s="4" t="s">
        <v>57</v>
      </c>
      <c r="O95" s="4" t="s">
        <v>63</v>
      </c>
      <c r="P95" s="4" t="s">
        <v>22</v>
      </c>
      <c r="Q95" s="5">
        <v>44526</v>
      </c>
      <c r="R95" s="4">
        <v>4499.95</v>
      </c>
      <c r="S95" s="12">
        <f t="shared" ca="1" si="3"/>
        <v>46038.591457291666</v>
      </c>
      <c r="T95" s="13">
        <f t="shared" ca="1" si="4"/>
        <v>46038</v>
      </c>
      <c r="U95" s="13">
        <f t="shared" si="5"/>
        <v>45535</v>
      </c>
      <c r="V95">
        <v>2</v>
      </c>
    </row>
    <row r="96" spans="5:22" ht="15.75" customHeight="1" x14ac:dyDescent="0.3">
      <c r="E96" s="4" t="s">
        <v>223</v>
      </c>
      <c r="F96" s="5">
        <v>45523</v>
      </c>
      <c r="G96" s="4" t="s">
        <v>108</v>
      </c>
      <c r="H96" s="4" t="s">
        <v>109</v>
      </c>
      <c r="I96" s="4" t="s">
        <v>52</v>
      </c>
      <c r="J96" s="4" t="s">
        <v>53</v>
      </c>
      <c r="K96" s="4" t="s">
        <v>19</v>
      </c>
      <c r="L96" s="4">
        <v>3</v>
      </c>
      <c r="M96" s="4">
        <v>149.99</v>
      </c>
      <c r="N96" s="4" t="s">
        <v>34</v>
      </c>
      <c r="O96" s="4" t="s">
        <v>63</v>
      </c>
      <c r="P96" s="4" t="s">
        <v>22</v>
      </c>
      <c r="Q96" s="5">
        <v>44574</v>
      </c>
      <c r="R96" s="4">
        <v>449.97</v>
      </c>
      <c r="S96" s="12">
        <f t="shared" ca="1" si="3"/>
        <v>46038.591457291666</v>
      </c>
      <c r="T96" s="13">
        <f t="shared" ca="1" si="4"/>
        <v>46038</v>
      </c>
      <c r="U96" s="13">
        <f t="shared" si="5"/>
        <v>45535</v>
      </c>
      <c r="V96">
        <v>2</v>
      </c>
    </row>
    <row r="97" spans="5:22" ht="15.75" customHeight="1" x14ac:dyDescent="0.3">
      <c r="E97" s="4" t="s">
        <v>224</v>
      </c>
      <c r="F97" s="5">
        <v>45526</v>
      </c>
      <c r="G97" s="4" t="s">
        <v>102</v>
      </c>
      <c r="H97" s="4" t="s">
        <v>103</v>
      </c>
      <c r="I97" s="4" t="s">
        <v>44</v>
      </c>
      <c r="J97" s="4" t="s">
        <v>45</v>
      </c>
      <c r="K97" s="4" t="s">
        <v>46</v>
      </c>
      <c r="L97" s="4">
        <v>5</v>
      </c>
      <c r="M97" s="4">
        <v>149.99</v>
      </c>
      <c r="N97" s="4" t="s">
        <v>26</v>
      </c>
      <c r="O97" s="4" t="s">
        <v>21</v>
      </c>
      <c r="P97" s="4" t="s">
        <v>22</v>
      </c>
      <c r="Q97" s="5">
        <v>45310</v>
      </c>
      <c r="R97" s="4">
        <v>749.95</v>
      </c>
      <c r="S97" s="12">
        <f t="shared" ca="1" si="3"/>
        <v>46038.591457291666</v>
      </c>
      <c r="T97" s="13">
        <f t="shared" ca="1" si="4"/>
        <v>46038</v>
      </c>
      <c r="U97" s="13">
        <f t="shared" si="5"/>
        <v>45535</v>
      </c>
      <c r="V97">
        <v>0</v>
      </c>
    </row>
    <row r="98" spans="5:22" ht="15.75" customHeight="1" x14ac:dyDescent="0.3">
      <c r="E98" s="4" t="s">
        <v>225</v>
      </c>
      <c r="F98" s="5">
        <v>45528</v>
      </c>
      <c r="G98" s="4" t="s">
        <v>226</v>
      </c>
      <c r="H98" s="4" t="s">
        <v>227</v>
      </c>
      <c r="I98" s="4" t="s">
        <v>114</v>
      </c>
      <c r="J98" s="4" t="s">
        <v>115</v>
      </c>
      <c r="K98" s="4" t="s">
        <v>33</v>
      </c>
      <c r="L98" s="4">
        <v>3</v>
      </c>
      <c r="M98" s="4">
        <v>79.989999999999995</v>
      </c>
      <c r="N98" s="4" t="s">
        <v>20</v>
      </c>
      <c r="O98" s="4" t="s">
        <v>21</v>
      </c>
      <c r="P98" s="4" t="s">
        <v>27</v>
      </c>
      <c r="Q98" s="5">
        <v>44779</v>
      </c>
      <c r="R98" s="4">
        <v>239.97</v>
      </c>
      <c r="S98" s="12">
        <f t="shared" ca="1" si="3"/>
        <v>46038.591457291666</v>
      </c>
      <c r="T98" s="13">
        <f t="shared" ca="1" si="4"/>
        <v>46038</v>
      </c>
      <c r="U98" s="13">
        <f t="shared" si="5"/>
        <v>45535</v>
      </c>
      <c r="V98">
        <v>2</v>
      </c>
    </row>
    <row r="99" spans="5:22" ht="15.75" customHeight="1" x14ac:dyDescent="0.3">
      <c r="E99" s="4" t="s">
        <v>228</v>
      </c>
      <c r="F99" s="5">
        <v>45528</v>
      </c>
      <c r="G99" s="4" t="s">
        <v>144</v>
      </c>
      <c r="H99" s="4" t="s">
        <v>145</v>
      </c>
      <c r="I99" s="4" t="s">
        <v>17</v>
      </c>
      <c r="J99" s="4" t="s">
        <v>18</v>
      </c>
      <c r="K99" s="4" t="s">
        <v>19</v>
      </c>
      <c r="L99" s="4">
        <v>2</v>
      </c>
      <c r="M99" s="4">
        <v>249.99</v>
      </c>
      <c r="N99" s="4" t="s">
        <v>20</v>
      </c>
      <c r="O99" s="4" t="s">
        <v>35</v>
      </c>
      <c r="P99" s="4" t="s">
        <v>36</v>
      </c>
      <c r="Q99" s="5">
        <v>44572</v>
      </c>
      <c r="R99" s="4">
        <v>499.98</v>
      </c>
      <c r="S99" s="12">
        <f t="shared" ca="1" si="3"/>
        <v>46038.591457291666</v>
      </c>
      <c r="T99" s="13">
        <f t="shared" ca="1" si="4"/>
        <v>46038</v>
      </c>
      <c r="U99" s="13">
        <f t="shared" si="5"/>
        <v>45535</v>
      </c>
      <c r="V99">
        <v>2</v>
      </c>
    </row>
    <row r="100" spans="5:22" ht="15.75" customHeight="1" x14ac:dyDescent="0.3">
      <c r="E100" s="4" t="s">
        <v>229</v>
      </c>
      <c r="F100" s="5">
        <v>45532</v>
      </c>
      <c r="G100" s="4" t="s">
        <v>196</v>
      </c>
      <c r="H100" s="4" t="s">
        <v>197</v>
      </c>
      <c r="I100" s="4" t="s">
        <v>80</v>
      </c>
      <c r="J100" s="4" t="s">
        <v>81</v>
      </c>
      <c r="K100" s="4" t="s">
        <v>19</v>
      </c>
      <c r="L100" s="4">
        <v>1</v>
      </c>
      <c r="M100" s="4">
        <v>699.99</v>
      </c>
      <c r="N100" s="4" t="s">
        <v>20</v>
      </c>
      <c r="O100" s="4" t="s">
        <v>21</v>
      </c>
      <c r="P100" s="4" t="s">
        <v>27</v>
      </c>
      <c r="Q100" s="5">
        <v>44497</v>
      </c>
      <c r="R100" s="4">
        <v>699.99</v>
      </c>
      <c r="S100" s="12">
        <f t="shared" ca="1" si="3"/>
        <v>46038.591457291666</v>
      </c>
      <c r="T100" s="13">
        <f t="shared" ca="1" si="4"/>
        <v>46038</v>
      </c>
      <c r="U100" s="13">
        <f t="shared" si="5"/>
        <v>45535</v>
      </c>
      <c r="V100">
        <v>2</v>
      </c>
    </row>
    <row r="101" spans="5:22" ht="15.75" customHeight="1" x14ac:dyDescent="0.3">
      <c r="E101" s="4" t="s">
        <v>230</v>
      </c>
      <c r="F101" s="5">
        <v>45532</v>
      </c>
      <c r="G101" s="4" t="s">
        <v>231</v>
      </c>
      <c r="H101" s="4" t="s">
        <v>232</v>
      </c>
      <c r="I101" s="4" t="s">
        <v>52</v>
      </c>
      <c r="J101" s="4" t="s">
        <v>53</v>
      </c>
      <c r="K101" s="4" t="s">
        <v>19</v>
      </c>
      <c r="L101" s="4">
        <v>3</v>
      </c>
      <c r="M101" s="4">
        <v>149.99</v>
      </c>
      <c r="N101" s="4" t="s">
        <v>20</v>
      </c>
      <c r="O101" s="4" t="s">
        <v>50</v>
      </c>
      <c r="P101" s="4" t="s">
        <v>27</v>
      </c>
      <c r="Q101" s="5">
        <v>45212</v>
      </c>
      <c r="R101" s="4">
        <v>449.97</v>
      </c>
      <c r="S101" s="12">
        <f t="shared" ca="1" si="3"/>
        <v>46038.591457291666</v>
      </c>
      <c r="T101" s="13">
        <f t="shared" ca="1" si="4"/>
        <v>46038</v>
      </c>
      <c r="U101" s="13">
        <f t="shared" si="5"/>
        <v>45535</v>
      </c>
      <c r="V101">
        <v>0</v>
      </c>
    </row>
    <row r="102" spans="5:22" ht="15.75" customHeight="1" x14ac:dyDescent="0.3">
      <c r="E102" s="4" t="s">
        <v>233</v>
      </c>
      <c r="F102" s="5">
        <v>45534</v>
      </c>
      <c r="G102" s="4" t="s">
        <v>234</v>
      </c>
      <c r="H102" s="4" t="s">
        <v>235</v>
      </c>
      <c r="I102" s="4" t="s">
        <v>80</v>
      </c>
      <c r="J102" s="4" t="s">
        <v>81</v>
      </c>
      <c r="K102" s="4" t="s">
        <v>19</v>
      </c>
      <c r="L102" s="4">
        <v>2</v>
      </c>
      <c r="M102" s="4">
        <v>699.99</v>
      </c>
      <c r="N102" s="4" t="s">
        <v>26</v>
      </c>
      <c r="O102" s="4" t="s">
        <v>40</v>
      </c>
      <c r="P102" s="4" t="s">
        <v>27</v>
      </c>
      <c r="Q102" s="5">
        <v>44421</v>
      </c>
      <c r="R102" s="4">
        <v>1399.98</v>
      </c>
      <c r="S102" s="12">
        <f t="shared" ca="1" si="3"/>
        <v>46038.591457291666</v>
      </c>
      <c r="T102" s="13">
        <f t="shared" ca="1" si="4"/>
        <v>46038</v>
      </c>
      <c r="U102" s="13">
        <f t="shared" si="5"/>
        <v>45535</v>
      </c>
      <c r="V102">
        <v>3</v>
      </c>
    </row>
    <row r="103" spans="5:22" ht="15.75" customHeight="1" x14ac:dyDescent="0.3">
      <c r="E103" s="4" t="s">
        <v>236</v>
      </c>
      <c r="F103" s="5">
        <v>45537</v>
      </c>
      <c r="G103" s="4" t="s">
        <v>231</v>
      </c>
      <c r="H103" s="4" t="s">
        <v>232</v>
      </c>
      <c r="I103" s="4" t="s">
        <v>17</v>
      </c>
      <c r="J103" s="4" t="s">
        <v>18</v>
      </c>
      <c r="K103" s="4" t="s">
        <v>19</v>
      </c>
      <c r="L103" s="4">
        <v>1</v>
      </c>
      <c r="M103" s="4">
        <v>249.99</v>
      </c>
      <c r="N103" s="4" t="s">
        <v>26</v>
      </c>
      <c r="O103" s="4" t="s">
        <v>50</v>
      </c>
      <c r="P103" s="4" t="s">
        <v>27</v>
      </c>
      <c r="Q103" s="5">
        <v>44685</v>
      </c>
      <c r="R103" s="4">
        <v>249.99</v>
      </c>
      <c r="S103" s="12">
        <f t="shared" ca="1" si="3"/>
        <v>46038.591457291666</v>
      </c>
      <c r="T103" s="13">
        <f t="shared" ca="1" si="4"/>
        <v>46038</v>
      </c>
      <c r="U103" s="13">
        <f t="shared" si="5"/>
        <v>45565</v>
      </c>
      <c r="V103">
        <v>2</v>
      </c>
    </row>
    <row r="104" spans="5:22" ht="15.75" customHeight="1" x14ac:dyDescent="0.3">
      <c r="E104" s="4" t="s">
        <v>237</v>
      </c>
      <c r="F104" s="5">
        <v>45537</v>
      </c>
      <c r="G104" s="4" t="s">
        <v>15</v>
      </c>
      <c r="H104" s="4" t="s">
        <v>16</v>
      </c>
      <c r="I104" s="4" t="s">
        <v>17</v>
      </c>
      <c r="J104" s="4" t="s">
        <v>18</v>
      </c>
      <c r="K104" s="4" t="s">
        <v>19</v>
      </c>
      <c r="L104" s="4">
        <v>1</v>
      </c>
      <c r="M104" s="4">
        <v>249.99</v>
      </c>
      <c r="N104" s="4" t="s">
        <v>57</v>
      </c>
      <c r="O104" s="4" t="s">
        <v>40</v>
      </c>
      <c r="P104" s="4" t="s">
        <v>27</v>
      </c>
      <c r="Q104" s="5">
        <v>45332</v>
      </c>
      <c r="R104" s="4">
        <v>249.99</v>
      </c>
      <c r="S104" s="12">
        <f t="shared" ca="1" si="3"/>
        <v>46038.591457291666</v>
      </c>
      <c r="T104" s="13">
        <f t="shared" ca="1" si="4"/>
        <v>46038</v>
      </c>
      <c r="U104" s="13">
        <f t="shared" si="5"/>
        <v>45565</v>
      </c>
      <c r="V104">
        <v>0</v>
      </c>
    </row>
    <row r="105" spans="5:22" ht="15.75" customHeight="1" x14ac:dyDescent="0.3">
      <c r="E105" s="4" t="s">
        <v>238</v>
      </c>
      <c r="F105" s="5">
        <v>45538</v>
      </c>
      <c r="G105" s="4" t="s">
        <v>226</v>
      </c>
      <c r="H105" s="4" t="s">
        <v>227</v>
      </c>
      <c r="I105" s="4" t="s">
        <v>80</v>
      </c>
      <c r="J105" s="4" t="s">
        <v>81</v>
      </c>
      <c r="K105" s="4" t="s">
        <v>19</v>
      </c>
      <c r="L105" s="4">
        <v>2</v>
      </c>
      <c r="M105" s="4">
        <v>699.99</v>
      </c>
      <c r="N105" s="4" t="s">
        <v>57</v>
      </c>
      <c r="O105" s="4" t="s">
        <v>21</v>
      </c>
      <c r="P105" s="4" t="s">
        <v>27</v>
      </c>
      <c r="Q105" s="5">
        <v>44870</v>
      </c>
      <c r="R105" s="4">
        <v>1399.98</v>
      </c>
      <c r="S105" s="12">
        <f t="shared" ca="1" si="3"/>
        <v>46038.591457291666</v>
      </c>
      <c r="T105" s="13">
        <f t="shared" ca="1" si="4"/>
        <v>46038</v>
      </c>
      <c r="U105" s="13">
        <f t="shared" si="5"/>
        <v>45565</v>
      </c>
      <c r="V105">
        <v>1</v>
      </c>
    </row>
    <row r="106" spans="5:22" ht="15.75" customHeight="1" x14ac:dyDescent="0.3">
      <c r="E106" s="4" t="s">
        <v>239</v>
      </c>
      <c r="F106" s="5">
        <v>45541</v>
      </c>
      <c r="G106" s="4" t="s">
        <v>138</v>
      </c>
      <c r="H106" s="4" t="s">
        <v>139</v>
      </c>
      <c r="I106" s="4" t="s">
        <v>31</v>
      </c>
      <c r="J106" s="4" t="s">
        <v>32</v>
      </c>
      <c r="K106" s="4" t="s">
        <v>33</v>
      </c>
      <c r="L106" s="4">
        <v>3</v>
      </c>
      <c r="M106" s="4">
        <v>59.99</v>
      </c>
      <c r="N106" s="4" t="s">
        <v>26</v>
      </c>
      <c r="O106" s="4" t="s">
        <v>21</v>
      </c>
      <c r="P106" s="4" t="s">
        <v>27</v>
      </c>
      <c r="Q106" s="5">
        <v>44717</v>
      </c>
      <c r="R106" s="4">
        <v>179.97</v>
      </c>
      <c r="S106" s="12">
        <f t="shared" ca="1" si="3"/>
        <v>46038.591457291666</v>
      </c>
      <c r="T106" s="13">
        <f t="shared" ca="1" si="4"/>
        <v>46038</v>
      </c>
      <c r="U106" s="13">
        <f t="shared" si="5"/>
        <v>45565</v>
      </c>
      <c r="V106">
        <v>2</v>
      </c>
    </row>
    <row r="107" spans="5:22" ht="15.75" customHeight="1" x14ac:dyDescent="0.3">
      <c r="E107" s="4" t="s">
        <v>240</v>
      </c>
      <c r="F107" s="5">
        <v>45544</v>
      </c>
      <c r="G107" s="4" t="s">
        <v>132</v>
      </c>
      <c r="H107" s="4" t="s">
        <v>133</v>
      </c>
      <c r="I107" s="4" t="s">
        <v>31</v>
      </c>
      <c r="J107" s="4" t="s">
        <v>32</v>
      </c>
      <c r="K107" s="4" t="s">
        <v>33</v>
      </c>
      <c r="L107" s="4">
        <v>3</v>
      </c>
      <c r="M107" s="4">
        <v>59.99</v>
      </c>
      <c r="N107" s="4" t="s">
        <v>34</v>
      </c>
      <c r="O107" s="4" t="s">
        <v>63</v>
      </c>
      <c r="P107" s="4" t="s">
        <v>36</v>
      </c>
      <c r="Q107" s="5">
        <v>44748</v>
      </c>
      <c r="R107" s="4">
        <v>179.97</v>
      </c>
      <c r="S107" s="12">
        <f t="shared" ca="1" si="3"/>
        <v>46038.591457291666</v>
      </c>
      <c r="T107" s="13">
        <f t="shared" ca="1" si="4"/>
        <v>46038</v>
      </c>
      <c r="U107" s="13">
        <f t="shared" si="5"/>
        <v>45565</v>
      </c>
      <c r="V107">
        <v>2</v>
      </c>
    </row>
    <row r="108" spans="5:22" ht="15.75" customHeight="1" x14ac:dyDescent="0.3">
      <c r="E108" s="4" t="s">
        <v>241</v>
      </c>
      <c r="F108" s="5">
        <v>45544</v>
      </c>
      <c r="G108" s="4" t="s">
        <v>141</v>
      </c>
      <c r="H108" s="4" t="s">
        <v>142</v>
      </c>
      <c r="I108" s="4" t="s">
        <v>114</v>
      </c>
      <c r="J108" s="4" t="s">
        <v>115</v>
      </c>
      <c r="K108" s="4" t="s">
        <v>33</v>
      </c>
      <c r="L108" s="4">
        <v>4</v>
      </c>
      <c r="M108" s="4">
        <v>79.989999999999995</v>
      </c>
      <c r="N108" s="4" t="s">
        <v>20</v>
      </c>
      <c r="O108" s="4" t="s">
        <v>40</v>
      </c>
      <c r="P108" s="4" t="s">
        <v>22</v>
      </c>
      <c r="Q108" s="5">
        <v>44530</v>
      </c>
      <c r="R108" s="4">
        <v>319.95999999999998</v>
      </c>
      <c r="S108" s="12">
        <f t="shared" ca="1" si="3"/>
        <v>46038.591457291666</v>
      </c>
      <c r="T108" s="13">
        <f t="shared" ca="1" si="4"/>
        <v>46038</v>
      </c>
      <c r="U108" s="13">
        <f t="shared" si="5"/>
        <v>45565</v>
      </c>
      <c r="V108">
        <v>2</v>
      </c>
    </row>
    <row r="109" spans="5:22" ht="15.75" customHeight="1" x14ac:dyDescent="0.3">
      <c r="E109" s="4" t="s">
        <v>242</v>
      </c>
      <c r="F109" s="5">
        <v>45545</v>
      </c>
      <c r="G109" s="4" t="s">
        <v>55</v>
      </c>
      <c r="H109" s="4" t="s">
        <v>56</v>
      </c>
      <c r="I109" s="4" t="s">
        <v>114</v>
      </c>
      <c r="J109" s="4" t="s">
        <v>115</v>
      </c>
      <c r="K109" s="4" t="s">
        <v>33</v>
      </c>
      <c r="L109" s="4">
        <v>1</v>
      </c>
      <c r="M109" s="4">
        <v>79.989999999999995</v>
      </c>
      <c r="N109" s="4" t="s">
        <v>20</v>
      </c>
      <c r="O109" s="4" t="s">
        <v>50</v>
      </c>
      <c r="P109" s="4" t="s">
        <v>22</v>
      </c>
      <c r="Q109" s="5">
        <v>44693</v>
      </c>
      <c r="R109" s="4">
        <v>79.989999999999995</v>
      </c>
      <c r="S109" s="12">
        <f t="shared" ca="1" si="3"/>
        <v>46038.591457291666</v>
      </c>
      <c r="T109" s="13">
        <f t="shared" ca="1" si="4"/>
        <v>46038</v>
      </c>
      <c r="U109" s="13">
        <f t="shared" si="5"/>
        <v>45565</v>
      </c>
      <c r="V109">
        <v>2</v>
      </c>
    </row>
    <row r="110" spans="5:22" ht="15.75" customHeight="1" x14ac:dyDescent="0.3">
      <c r="E110" s="4" t="s">
        <v>243</v>
      </c>
      <c r="F110" s="5">
        <v>45547</v>
      </c>
      <c r="G110" s="4" t="s">
        <v>48</v>
      </c>
      <c r="H110" s="4" t="s">
        <v>49</v>
      </c>
      <c r="I110" s="4" t="s">
        <v>105</v>
      </c>
      <c r="J110" s="4" t="s">
        <v>106</v>
      </c>
      <c r="K110" s="4" t="s">
        <v>46</v>
      </c>
      <c r="L110" s="4">
        <v>3</v>
      </c>
      <c r="M110" s="4">
        <v>299.99</v>
      </c>
      <c r="N110" s="4" t="s">
        <v>26</v>
      </c>
      <c r="O110" s="4" t="s">
        <v>21</v>
      </c>
      <c r="P110" s="4" t="s">
        <v>27</v>
      </c>
      <c r="Q110" s="5">
        <v>44494</v>
      </c>
      <c r="R110" s="4">
        <v>899.97</v>
      </c>
      <c r="S110" s="12">
        <f t="shared" ca="1" si="3"/>
        <v>46038.591457291666</v>
      </c>
      <c r="T110" s="13">
        <f t="shared" ca="1" si="4"/>
        <v>46038</v>
      </c>
      <c r="U110" s="13">
        <f t="shared" si="5"/>
        <v>45565</v>
      </c>
      <c r="V110">
        <v>2</v>
      </c>
    </row>
    <row r="111" spans="5:22" ht="15.75" customHeight="1" x14ac:dyDescent="0.3">
      <c r="E111" s="4" t="s">
        <v>244</v>
      </c>
      <c r="F111" s="5">
        <v>45548</v>
      </c>
      <c r="G111" s="4" t="s">
        <v>38</v>
      </c>
      <c r="H111" s="4" t="s">
        <v>39</v>
      </c>
      <c r="I111" s="4" t="s">
        <v>117</v>
      </c>
      <c r="J111" s="4" t="s">
        <v>118</v>
      </c>
      <c r="K111" s="4" t="s">
        <v>19</v>
      </c>
      <c r="L111" s="4">
        <v>2</v>
      </c>
      <c r="M111" s="4">
        <v>89.99</v>
      </c>
      <c r="N111" s="4" t="s">
        <v>26</v>
      </c>
      <c r="O111" s="4" t="s">
        <v>35</v>
      </c>
      <c r="P111" s="4" t="s">
        <v>27</v>
      </c>
      <c r="Q111" s="5">
        <v>44641</v>
      </c>
      <c r="R111" s="4">
        <v>179.98</v>
      </c>
      <c r="S111" s="12">
        <f t="shared" ca="1" si="3"/>
        <v>46038.591457291666</v>
      </c>
      <c r="T111" s="13">
        <f t="shared" ca="1" si="4"/>
        <v>46038</v>
      </c>
      <c r="U111" s="13">
        <f t="shared" si="5"/>
        <v>45565</v>
      </c>
      <c r="V111">
        <v>2</v>
      </c>
    </row>
    <row r="112" spans="5:22" ht="15.75" customHeight="1" x14ac:dyDescent="0.3">
      <c r="E112" s="4" t="s">
        <v>245</v>
      </c>
      <c r="F112" s="5">
        <v>45550</v>
      </c>
      <c r="G112" s="4" t="s">
        <v>246</v>
      </c>
      <c r="H112" s="4" t="s">
        <v>247</v>
      </c>
      <c r="I112" s="4" t="s">
        <v>52</v>
      </c>
      <c r="J112" s="4" t="s">
        <v>53</v>
      </c>
      <c r="K112" s="4" t="s">
        <v>19</v>
      </c>
      <c r="L112" s="4">
        <v>4</v>
      </c>
      <c r="M112" s="4">
        <v>149.99</v>
      </c>
      <c r="N112" s="4" t="s">
        <v>20</v>
      </c>
      <c r="O112" s="4" t="s">
        <v>40</v>
      </c>
      <c r="P112" s="4" t="s">
        <v>22</v>
      </c>
      <c r="Q112" s="5">
        <v>44909</v>
      </c>
      <c r="R112" s="4">
        <v>599.96</v>
      </c>
      <c r="S112" s="12">
        <f t="shared" ca="1" si="3"/>
        <v>46038.591457291666</v>
      </c>
      <c r="T112" s="13">
        <f t="shared" ca="1" si="4"/>
        <v>46038</v>
      </c>
      <c r="U112" s="13">
        <f t="shared" si="5"/>
        <v>45565</v>
      </c>
      <c r="V112">
        <v>1</v>
      </c>
    </row>
    <row r="113" spans="5:22" ht="15.75" customHeight="1" x14ac:dyDescent="0.3">
      <c r="E113" s="4" t="s">
        <v>248</v>
      </c>
      <c r="F113" s="5">
        <v>45551</v>
      </c>
      <c r="G113" s="4" t="s">
        <v>65</v>
      </c>
      <c r="H113" s="4" t="s">
        <v>66</v>
      </c>
      <c r="I113" s="4" t="s">
        <v>17</v>
      </c>
      <c r="J113" s="4" t="s">
        <v>18</v>
      </c>
      <c r="K113" s="4" t="s">
        <v>19</v>
      </c>
      <c r="L113" s="4">
        <v>2</v>
      </c>
      <c r="M113" s="4">
        <v>249.99</v>
      </c>
      <c r="N113" s="4" t="s">
        <v>34</v>
      </c>
      <c r="O113" s="4" t="s">
        <v>35</v>
      </c>
      <c r="P113" s="4" t="s">
        <v>22</v>
      </c>
      <c r="Q113" s="5">
        <v>44993</v>
      </c>
      <c r="R113" s="4">
        <v>499.98</v>
      </c>
      <c r="S113" s="12">
        <f t="shared" ca="1" si="3"/>
        <v>46038.591457291666</v>
      </c>
      <c r="T113" s="13">
        <f t="shared" ca="1" si="4"/>
        <v>46038</v>
      </c>
      <c r="U113" s="13">
        <f t="shared" si="5"/>
        <v>45565</v>
      </c>
      <c r="V113">
        <v>1</v>
      </c>
    </row>
    <row r="114" spans="5:22" ht="15.75" customHeight="1" x14ac:dyDescent="0.3">
      <c r="E114" s="4" t="s">
        <v>249</v>
      </c>
      <c r="F114" s="5">
        <v>45551</v>
      </c>
      <c r="G114" s="4" t="s">
        <v>154</v>
      </c>
      <c r="H114" s="4" t="s">
        <v>155</v>
      </c>
      <c r="I114" s="4" t="s">
        <v>126</v>
      </c>
      <c r="J114" s="4" t="s">
        <v>127</v>
      </c>
      <c r="K114" s="4" t="s">
        <v>46</v>
      </c>
      <c r="L114" s="4">
        <v>4</v>
      </c>
      <c r="M114" s="4">
        <v>199.99</v>
      </c>
      <c r="N114" s="4" t="s">
        <v>57</v>
      </c>
      <c r="O114" s="4" t="s">
        <v>63</v>
      </c>
      <c r="P114" s="4" t="s">
        <v>22</v>
      </c>
      <c r="Q114" s="5">
        <v>44458</v>
      </c>
      <c r="R114" s="4">
        <v>799.96</v>
      </c>
      <c r="S114" s="12">
        <f t="shared" ca="1" si="3"/>
        <v>46038.591457291666</v>
      </c>
      <c r="T114" s="13">
        <f t="shared" ca="1" si="4"/>
        <v>46038</v>
      </c>
      <c r="U114" s="13">
        <f t="shared" si="5"/>
        <v>45565</v>
      </c>
      <c r="V114">
        <v>2</v>
      </c>
    </row>
    <row r="115" spans="5:22" ht="15.75" customHeight="1" x14ac:dyDescent="0.3">
      <c r="E115" s="4" t="s">
        <v>250</v>
      </c>
      <c r="F115" s="5">
        <v>45554</v>
      </c>
      <c r="G115" s="4" t="s">
        <v>147</v>
      </c>
      <c r="H115" s="4" t="s">
        <v>148</v>
      </c>
      <c r="I115" s="4" t="s">
        <v>117</v>
      </c>
      <c r="J115" s="4" t="s">
        <v>118</v>
      </c>
      <c r="K115" s="4" t="s">
        <v>19</v>
      </c>
      <c r="L115" s="4">
        <v>5</v>
      </c>
      <c r="M115" s="4">
        <v>89.99</v>
      </c>
      <c r="N115" s="4" t="s">
        <v>26</v>
      </c>
      <c r="O115" s="4" t="s">
        <v>63</v>
      </c>
      <c r="P115" s="4" t="s">
        <v>27</v>
      </c>
      <c r="Q115" s="5">
        <v>44446</v>
      </c>
      <c r="R115" s="4">
        <v>449.95</v>
      </c>
      <c r="S115" s="12">
        <f t="shared" ca="1" si="3"/>
        <v>46038.591457291666</v>
      </c>
      <c r="T115" s="13">
        <f t="shared" ca="1" si="4"/>
        <v>46038</v>
      </c>
      <c r="U115" s="13">
        <f t="shared" si="5"/>
        <v>45565</v>
      </c>
      <c r="V115">
        <v>3</v>
      </c>
    </row>
    <row r="116" spans="5:22" ht="15.75" customHeight="1" x14ac:dyDescent="0.3">
      <c r="E116" s="4" t="s">
        <v>251</v>
      </c>
      <c r="F116" s="5">
        <v>45554</v>
      </c>
      <c r="G116" s="4" t="s">
        <v>252</v>
      </c>
      <c r="H116" s="4" t="s">
        <v>253</v>
      </c>
      <c r="I116" s="4" t="s">
        <v>52</v>
      </c>
      <c r="J116" s="4" t="s">
        <v>53</v>
      </c>
      <c r="K116" s="4" t="s">
        <v>19</v>
      </c>
      <c r="L116" s="4">
        <v>1</v>
      </c>
      <c r="M116" s="4">
        <v>149.99</v>
      </c>
      <c r="N116" s="4" t="s">
        <v>34</v>
      </c>
      <c r="O116" s="4" t="s">
        <v>63</v>
      </c>
      <c r="P116" s="4" t="s">
        <v>36</v>
      </c>
      <c r="Q116" s="5">
        <v>44482</v>
      </c>
      <c r="R116" s="4">
        <v>149.99</v>
      </c>
      <c r="S116" s="12">
        <f t="shared" ca="1" si="3"/>
        <v>46038.591457291666</v>
      </c>
      <c r="T116" s="13">
        <f t="shared" ca="1" si="4"/>
        <v>46038</v>
      </c>
      <c r="U116" s="13">
        <f t="shared" si="5"/>
        <v>45565</v>
      </c>
      <c r="V116">
        <v>2</v>
      </c>
    </row>
    <row r="117" spans="5:22" ht="15.75" customHeight="1" x14ac:dyDescent="0.3">
      <c r="E117" s="4" t="s">
        <v>254</v>
      </c>
      <c r="F117" s="5">
        <v>45554</v>
      </c>
      <c r="G117" s="4" t="s">
        <v>72</v>
      </c>
      <c r="H117" s="4" t="s">
        <v>73</v>
      </c>
      <c r="I117" s="4" t="s">
        <v>80</v>
      </c>
      <c r="J117" s="4" t="s">
        <v>81</v>
      </c>
      <c r="K117" s="4" t="s">
        <v>19</v>
      </c>
      <c r="L117" s="4">
        <v>4</v>
      </c>
      <c r="M117" s="4">
        <v>699.99</v>
      </c>
      <c r="N117" s="4" t="s">
        <v>34</v>
      </c>
      <c r="O117" s="4" t="s">
        <v>35</v>
      </c>
      <c r="P117" s="4" t="s">
        <v>22</v>
      </c>
      <c r="Q117" s="5">
        <v>44618</v>
      </c>
      <c r="R117" s="4">
        <v>2799.96</v>
      </c>
      <c r="S117" s="12">
        <f t="shared" ca="1" si="3"/>
        <v>46038.591457291666</v>
      </c>
      <c r="T117" s="13">
        <f t="shared" ca="1" si="4"/>
        <v>46038</v>
      </c>
      <c r="U117" s="13">
        <f t="shared" si="5"/>
        <v>45565</v>
      </c>
      <c r="V117">
        <v>2</v>
      </c>
    </row>
    <row r="118" spans="5:22" ht="15.75" customHeight="1" x14ac:dyDescent="0.3">
      <c r="E118" s="4" t="s">
        <v>255</v>
      </c>
      <c r="F118" s="5">
        <v>45559</v>
      </c>
      <c r="G118" s="4" t="s">
        <v>234</v>
      </c>
      <c r="H118" s="4" t="s">
        <v>235</v>
      </c>
      <c r="I118" s="4" t="s">
        <v>61</v>
      </c>
      <c r="J118" s="4" t="s">
        <v>62</v>
      </c>
      <c r="K118" s="4" t="s">
        <v>19</v>
      </c>
      <c r="L118" s="4">
        <v>3</v>
      </c>
      <c r="M118" s="4">
        <v>899.99</v>
      </c>
      <c r="N118" s="4" t="s">
        <v>26</v>
      </c>
      <c r="O118" s="4" t="s">
        <v>40</v>
      </c>
      <c r="P118" s="4" t="s">
        <v>36</v>
      </c>
      <c r="Q118" s="5">
        <v>45157</v>
      </c>
      <c r="R118" s="4">
        <v>2699.97</v>
      </c>
      <c r="S118" s="12">
        <f t="shared" ca="1" si="3"/>
        <v>46038.591457291666</v>
      </c>
      <c r="T118" s="13">
        <f t="shared" ca="1" si="4"/>
        <v>46038</v>
      </c>
      <c r="U118" s="13">
        <f t="shared" si="5"/>
        <v>45565</v>
      </c>
      <c r="V118">
        <v>1</v>
      </c>
    </row>
    <row r="119" spans="5:22" ht="15.75" customHeight="1" x14ac:dyDescent="0.3">
      <c r="E119" s="4" t="s">
        <v>256</v>
      </c>
      <c r="F119" s="5">
        <v>45560</v>
      </c>
      <c r="G119" s="4" t="s">
        <v>112</v>
      </c>
      <c r="H119" s="4" t="s">
        <v>113</v>
      </c>
      <c r="I119" s="4" t="s">
        <v>44</v>
      </c>
      <c r="J119" s="4" t="s">
        <v>45</v>
      </c>
      <c r="K119" s="4" t="s">
        <v>46</v>
      </c>
      <c r="L119" s="4">
        <v>3</v>
      </c>
      <c r="M119" s="4">
        <v>149.99</v>
      </c>
      <c r="N119" s="4" t="s">
        <v>34</v>
      </c>
      <c r="O119" s="4" t="s">
        <v>63</v>
      </c>
      <c r="P119" s="4" t="s">
        <v>22</v>
      </c>
      <c r="Q119" s="5">
        <v>44886</v>
      </c>
      <c r="R119" s="4">
        <v>449.97</v>
      </c>
      <c r="S119" s="12">
        <f t="shared" ca="1" si="3"/>
        <v>46038.591457291666</v>
      </c>
      <c r="T119" s="13">
        <f t="shared" ca="1" si="4"/>
        <v>46038</v>
      </c>
      <c r="U119" s="13">
        <f t="shared" si="5"/>
        <v>45565</v>
      </c>
      <c r="V119">
        <v>1</v>
      </c>
    </row>
    <row r="120" spans="5:22" ht="15.75" customHeight="1" x14ac:dyDescent="0.3">
      <c r="E120" s="4" t="s">
        <v>257</v>
      </c>
      <c r="F120" s="5">
        <v>45563</v>
      </c>
      <c r="G120" s="4" t="s">
        <v>99</v>
      </c>
      <c r="H120" s="4" t="s">
        <v>100</v>
      </c>
      <c r="I120" s="4" t="s">
        <v>105</v>
      </c>
      <c r="J120" s="4" t="s">
        <v>106</v>
      </c>
      <c r="K120" s="4" t="s">
        <v>46</v>
      </c>
      <c r="L120" s="4">
        <v>2</v>
      </c>
      <c r="M120" s="4">
        <v>299.99</v>
      </c>
      <c r="N120" s="4" t="s">
        <v>57</v>
      </c>
      <c r="O120" s="4" t="s">
        <v>21</v>
      </c>
      <c r="P120" s="4" t="s">
        <v>22</v>
      </c>
      <c r="Q120" s="5">
        <v>44569</v>
      </c>
      <c r="R120" s="4">
        <v>599.98</v>
      </c>
      <c r="S120" s="12">
        <f t="shared" ca="1" si="3"/>
        <v>46038.591457291666</v>
      </c>
      <c r="T120" s="13">
        <f t="shared" ca="1" si="4"/>
        <v>46038</v>
      </c>
      <c r="U120" s="13">
        <f t="shared" si="5"/>
        <v>45565</v>
      </c>
      <c r="V120">
        <v>2</v>
      </c>
    </row>
    <row r="121" spans="5:22" ht="15.75" customHeight="1" x14ac:dyDescent="0.3">
      <c r="E121" s="4" t="s">
        <v>258</v>
      </c>
      <c r="F121" s="5">
        <v>45564</v>
      </c>
      <c r="G121" s="4" t="s">
        <v>259</v>
      </c>
      <c r="H121" s="4" t="s">
        <v>260</v>
      </c>
      <c r="I121" s="4" t="s">
        <v>126</v>
      </c>
      <c r="J121" s="4" t="s">
        <v>127</v>
      </c>
      <c r="K121" s="4" t="s">
        <v>46</v>
      </c>
      <c r="L121" s="4">
        <v>1</v>
      </c>
      <c r="M121" s="4">
        <v>199.99</v>
      </c>
      <c r="N121" s="4" t="s">
        <v>57</v>
      </c>
      <c r="O121" s="4" t="s">
        <v>63</v>
      </c>
      <c r="P121" s="4" t="s">
        <v>36</v>
      </c>
      <c r="Q121" s="5">
        <v>44953</v>
      </c>
      <c r="R121" s="4">
        <v>199.99</v>
      </c>
      <c r="S121" s="12">
        <f t="shared" ca="1" si="3"/>
        <v>46038.591457291666</v>
      </c>
      <c r="T121" s="13">
        <f t="shared" ca="1" si="4"/>
        <v>46038</v>
      </c>
      <c r="U121" s="13">
        <f t="shared" si="5"/>
        <v>45565</v>
      </c>
      <c r="V121">
        <v>1</v>
      </c>
    </row>
    <row r="122" spans="5:22" ht="15.75" customHeight="1" x14ac:dyDescent="0.3">
      <c r="E122" s="4" t="s">
        <v>261</v>
      </c>
      <c r="F122" s="5">
        <v>45566</v>
      </c>
      <c r="G122" s="4" t="s">
        <v>42</v>
      </c>
      <c r="H122" s="4" t="s">
        <v>43</v>
      </c>
      <c r="I122" s="4" t="s">
        <v>105</v>
      </c>
      <c r="J122" s="4" t="s">
        <v>106</v>
      </c>
      <c r="K122" s="4" t="s">
        <v>46</v>
      </c>
      <c r="L122" s="4">
        <v>4</v>
      </c>
      <c r="M122" s="4">
        <v>299.99</v>
      </c>
      <c r="N122" s="4" t="s">
        <v>20</v>
      </c>
      <c r="O122" s="4" t="s">
        <v>21</v>
      </c>
      <c r="P122" s="4" t="s">
        <v>27</v>
      </c>
      <c r="Q122" s="5">
        <v>44460</v>
      </c>
      <c r="R122" s="4">
        <v>1199.96</v>
      </c>
      <c r="S122" s="12">
        <f t="shared" ca="1" si="3"/>
        <v>46038.591457291666</v>
      </c>
      <c r="T122" s="13">
        <f t="shared" ca="1" si="4"/>
        <v>46038</v>
      </c>
      <c r="U122" s="13">
        <f t="shared" si="5"/>
        <v>45596</v>
      </c>
      <c r="V122">
        <v>3</v>
      </c>
    </row>
    <row r="123" spans="5:22" ht="15.75" customHeight="1" x14ac:dyDescent="0.3">
      <c r="E123" s="4" t="s">
        <v>262</v>
      </c>
      <c r="F123" s="5">
        <v>45572</v>
      </c>
      <c r="G123" s="4" t="s">
        <v>89</v>
      </c>
      <c r="H123" s="4" t="s">
        <v>90</v>
      </c>
      <c r="I123" s="4" t="s">
        <v>31</v>
      </c>
      <c r="J123" s="4" t="s">
        <v>32</v>
      </c>
      <c r="K123" s="4" t="s">
        <v>33</v>
      </c>
      <c r="L123" s="4">
        <v>2</v>
      </c>
      <c r="M123" s="4">
        <v>59.99</v>
      </c>
      <c r="N123" s="4" t="s">
        <v>26</v>
      </c>
      <c r="O123" s="4" t="s">
        <v>21</v>
      </c>
      <c r="P123" s="4" t="s">
        <v>22</v>
      </c>
      <c r="Q123" s="5">
        <v>44579</v>
      </c>
      <c r="R123" s="4">
        <v>119.98</v>
      </c>
      <c r="S123" s="12">
        <f t="shared" ca="1" si="3"/>
        <v>46038.591457291666</v>
      </c>
      <c r="T123" s="13">
        <f t="shared" ca="1" si="4"/>
        <v>46038</v>
      </c>
      <c r="U123" s="13">
        <f t="shared" si="5"/>
        <v>45596</v>
      </c>
      <c r="V123">
        <v>2</v>
      </c>
    </row>
    <row r="124" spans="5:22" ht="15.75" customHeight="1" x14ac:dyDescent="0.3">
      <c r="E124" s="4" t="s">
        <v>263</v>
      </c>
      <c r="F124" s="5">
        <v>45572</v>
      </c>
      <c r="G124" s="4" t="s">
        <v>234</v>
      </c>
      <c r="H124" s="4" t="s">
        <v>235</v>
      </c>
      <c r="I124" s="4" t="s">
        <v>52</v>
      </c>
      <c r="J124" s="4" t="s">
        <v>53</v>
      </c>
      <c r="K124" s="4" t="s">
        <v>19</v>
      </c>
      <c r="L124" s="4">
        <v>4</v>
      </c>
      <c r="M124" s="4">
        <v>149.99</v>
      </c>
      <c r="N124" s="4" t="s">
        <v>26</v>
      </c>
      <c r="O124" s="4" t="s">
        <v>40</v>
      </c>
      <c r="P124" s="4" t="s">
        <v>27</v>
      </c>
      <c r="Q124" s="5">
        <v>45076</v>
      </c>
      <c r="R124" s="4">
        <v>599.96</v>
      </c>
      <c r="S124" s="12">
        <f t="shared" ca="1" si="3"/>
        <v>46038.591457291666</v>
      </c>
      <c r="T124" s="13">
        <f t="shared" ca="1" si="4"/>
        <v>46038</v>
      </c>
      <c r="U124" s="13">
        <f t="shared" si="5"/>
        <v>45596</v>
      </c>
      <c r="V124">
        <v>1</v>
      </c>
    </row>
    <row r="125" spans="5:22" ht="15.75" customHeight="1" x14ac:dyDescent="0.3">
      <c r="E125" s="4" t="s">
        <v>264</v>
      </c>
      <c r="F125" s="5">
        <v>45573</v>
      </c>
      <c r="G125" s="4" t="s">
        <v>211</v>
      </c>
      <c r="H125" s="4" t="s">
        <v>212</v>
      </c>
      <c r="I125" s="4" t="s">
        <v>80</v>
      </c>
      <c r="J125" s="4" t="s">
        <v>81</v>
      </c>
      <c r="K125" s="4" t="s">
        <v>19</v>
      </c>
      <c r="L125" s="4">
        <v>2</v>
      </c>
      <c r="M125" s="4">
        <v>699.99</v>
      </c>
      <c r="N125" s="4" t="s">
        <v>57</v>
      </c>
      <c r="O125" s="4" t="s">
        <v>63</v>
      </c>
      <c r="P125" s="4" t="s">
        <v>27</v>
      </c>
      <c r="Q125" s="5">
        <v>45274</v>
      </c>
      <c r="R125" s="4">
        <v>1399.98</v>
      </c>
      <c r="S125" s="12">
        <f t="shared" ca="1" si="3"/>
        <v>46038.591457291666</v>
      </c>
      <c r="T125" s="13">
        <f t="shared" ca="1" si="4"/>
        <v>46038</v>
      </c>
      <c r="U125" s="13">
        <f t="shared" si="5"/>
        <v>45596</v>
      </c>
      <c r="V125">
        <v>0</v>
      </c>
    </row>
    <row r="126" spans="5:22" ht="15.75" customHeight="1" x14ac:dyDescent="0.3">
      <c r="E126" s="4" t="s">
        <v>265</v>
      </c>
      <c r="F126" s="5">
        <v>45573</v>
      </c>
      <c r="G126" s="4" t="s">
        <v>231</v>
      </c>
      <c r="H126" s="4" t="s">
        <v>232</v>
      </c>
      <c r="I126" s="4" t="s">
        <v>44</v>
      </c>
      <c r="J126" s="4" t="s">
        <v>45</v>
      </c>
      <c r="K126" s="4" t="s">
        <v>46</v>
      </c>
      <c r="L126" s="4">
        <v>3</v>
      </c>
      <c r="M126" s="4">
        <v>149.99</v>
      </c>
      <c r="N126" s="4" t="s">
        <v>26</v>
      </c>
      <c r="O126" s="4" t="s">
        <v>35</v>
      </c>
      <c r="P126" s="4" t="s">
        <v>36</v>
      </c>
      <c r="Q126" s="5">
        <v>44940</v>
      </c>
      <c r="R126" s="4">
        <v>449.97</v>
      </c>
      <c r="S126" s="12">
        <f t="shared" ca="1" si="3"/>
        <v>46038.591457291666</v>
      </c>
      <c r="T126" s="13">
        <f t="shared" ca="1" si="4"/>
        <v>46038</v>
      </c>
      <c r="U126" s="13">
        <f t="shared" si="5"/>
        <v>45596</v>
      </c>
      <c r="V126">
        <v>1</v>
      </c>
    </row>
    <row r="127" spans="5:22" ht="15.75" customHeight="1" x14ac:dyDescent="0.3">
      <c r="E127" s="4" t="s">
        <v>266</v>
      </c>
      <c r="F127" s="5">
        <v>45576</v>
      </c>
      <c r="G127" s="4" t="s">
        <v>147</v>
      </c>
      <c r="H127" s="4" t="s">
        <v>148</v>
      </c>
      <c r="I127" s="4" t="s">
        <v>105</v>
      </c>
      <c r="J127" s="4" t="s">
        <v>106</v>
      </c>
      <c r="K127" s="4" t="s">
        <v>46</v>
      </c>
      <c r="L127" s="4">
        <v>3</v>
      </c>
      <c r="M127" s="4">
        <v>299.99</v>
      </c>
      <c r="N127" s="4" t="s">
        <v>26</v>
      </c>
      <c r="O127" s="4" t="s">
        <v>21</v>
      </c>
      <c r="P127" s="4" t="s">
        <v>36</v>
      </c>
      <c r="Q127" s="5">
        <v>45174</v>
      </c>
      <c r="R127" s="4">
        <v>899.97</v>
      </c>
      <c r="S127" s="12">
        <f t="shared" ca="1" si="3"/>
        <v>46038.591457291666</v>
      </c>
      <c r="T127" s="13">
        <f t="shared" ca="1" si="4"/>
        <v>46038</v>
      </c>
      <c r="U127" s="13">
        <f t="shared" si="5"/>
        <v>45596</v>
      </c>
      <c r="V127">
        <v>1</v>
      </c>
    </row>
    <row r="128" spans="5:22" ht="15.75" customHeight="1" x14ac:dyDescent="0.3">
      <c r="E128" s="4" t="s">
        <v>267</v>
      </c>
      <c r="F128" s="5">
        <v>45579</v>
      </c>
      <c r="G128" s="4" t="s">
        <v>83</v>
      </c>
      <c r="H128" s="4" t="s">
        <v>84</v>
      </c>
      <c r="I128" s="4" t="s">
        <v>61</v>
      </c>
      <c r="J128" s="4" t="s">
        <v>62</v>
      </c>
      <c r="K128" s="4" t="s">
        <v>19</v>
      </c>
      <c r="L128" s="4">
        <v>3</v>
      </c>
      <c r="M128" s="4">
        <v>899.99</v>
      </c>
      <c r="N128" s="4" t="s">
        <v>34</v>
      </c>
      <c r="O128" s="4" t="s">
        <v>50</v>
      </c>
      <c r="P128" s="4" t="s">
        <v>22</v>
      </c>
      <c r="Q128" s="5">
        <v>45215</v>
      </c>
      <c r="R128" s="4">
        <v>2699.97</v>
      </c>
      <c r="S128" s="12">
        <f t="shared" ca="1" si="3"/>
        <v>46038.591457291666</v>
      </c>
      <c r="T128" s="13">
        <f t="shared" ca="1" si="4"/>
        <v>46038</v>
      </c>
      <c r="U128" s="13">
        <f t="shared" si="5"/>
        <v>45596</v>
      </c>
      <c r="V128">
        <v>0</v>
      </c>
    </row>
    <row r="129" spans="5:22" ht="15.75" customHeight="1" x14ac:dyDescent="0.3">
      <c r="E129" s="4" t="s">
        <v>268</v>
      </c>
      <c r="F129" s="5">
        <v>45581</v>
      </c>
      <c r="G129" s="4" t="s">
        <v>96</v>
      </c>
      <c r="H129" s="4" t="s">
        <v>97</v>
      </c>
      <c r="I129" s="4" t="s">
        <v>80</v>
      </c>
      <c r="J129" s="4" t="s">
        <v>81</v>
      </c>
      <c r="K129" s="4" t="s">
        <v>19</v>
      </c>
      <c r="L129" s="4">
        <v>5</v>
      </c>
      <c r="M129" s="4">
        <v>699.99</v>
      </c>
      <c r="N129" s="4" t="s">
        <v>20</v>
      </c>
      <c r="O129" s="4" t="s">
        <v>63</v>
      </c>
      <c r="P129" s="4" t="s">
        <v>36</v>
      </c>
      <c r="Q129" s="5">
        <v>45008</v>
      </c>
      <c r="R129" s="4">
        <v>3499.95</v>
      </c>
      <c r="S129" s="12">
        <f t="shared" ca="1" si="3"/>
        <v>46038.591457291666</v>
      </c>
      <c r="T129" s="13">
        <f t="shared" ca="1" si="4"/>
        <v>46038</v>
      </c>
      <c r="U129" s="13">
        <f t="shared" si="5"/>
        <v>45596</v>
      </c>
      <c r="V129">
        <v>1</v>
      </c>
    </row>
    <row r="130" spans="5:22" ht="15.75" customHeight="1" x14ac:dyDescent="0.3">
      <c r="E130" s="4" t="s">
        <v>269</v>
      </c>
      <c r="F130" s="5">
        <v>45581</v>
      </c>
      <c r="G130" s="4" t="s">
        <v>171</v>
      </c>
      <c r="H130" s="4" t="s">
        <v>172</v>
      </c>
      <c r="I130" s="4" t="s">
        <v>80</v>
      </c>
      <c r="J130" s="4" t="s">
        <v>81</v>
      </c>
      <c r="K130" s="4" t="s">
        <v>19</v>
      </c>
      <c r="L130" s="4">
        <v>4</v>
      </c>
      <c r="M130" s="4">
        <v>699.99</v>
      </c>
      <c r="N130" s="4" t="s">
        <v>26</v>
      </c>
      <c r="O130" s="4" t="s">
        <v>21</v>
      </c>
      <c r="P130" s="4" t="s">
        <v>22</v>
      </c>
      <c r="Q130" s="5">
        <v>45385</v>
      </c>
      <c r="R130" s="4">
        <v>2799.96</v>
      </c>
      <c r="S130" s="12">
        <f t="shared" ca="1" si="3"/>
        <v>46038.591457291666</v>
      </c>
      <c r="T130" s="13">
        <f t="shared" ca="1" si="4"/>
        <v>46038</v>
      </c>
      <c r="U130" s="13">
        <f t="shared" si="5"/>
        <v>45596</v>
      </c>
      <c r="V130">
        <v>0</v>
      </c>
    </row>
    <row r="131" spans="5:22" ht="15.75" customHeight="1" x14ac:dyDescent="0.3">
      <c r="E131" s="4" t="s">
        <v>270</v>
      </c>
      <c r="F131" s="5">
        <v>45581</v>
      </c>
      <c r="G131" s="4" t="s">
        <v>150</v>
      </c>
      <c r="H131" s="4" t="s">
        <v>151</v>
      </c>
      <c r="I131" s="4" t="s">
        <v>61</v>
      </c>
      <c r="J131" s="4" t="s">
        <v>62</v>
      </c>
      <c r="K131" s="4" t="s">
        <v>19</v>
      </c>
      <c r="L131" s="4">
        <v>1</v>
      </c>
      <c r="M131" s="4">
        <v>899.99</v>
      </c>
      <c r="N131" s="4" t="s">
        <v>26</v>
      </c>
      <c r="O131" s="4" t="s">
        <v>63</v>
      </c>
      <c r="P131" s="4" t="s">
        <v>36</v>
      </c>
      <c r="Q131" s="5">
        <v>45369</v>
      </c>
      <c r="R131" s="4">
        <v>899.99</v>
      </c>
      <c r="S131" s="12">
        <f t="shared" ref="S131:S194" ca="1" si="6">NOW()</f>
        <v>46038.591457291666</v>
      </c>
      <c r="T131" s="13">
        <f t="shared" ref="T131:T194" ca="1" si="7">TODAY()</f>
        <v>46038</v>
      </c>
      <c r="U131" s="13">
        <f t="shared" ref="U131:U194" si="8">EOMONTH(F131,0)</f>
        <v>45596</v>
      </c>
      <c r="V131">
        <v>0</v>
      </c>
    </row>
    <row r="132" spans="5:22" ht="15.75" customHeight="1" x14ac:dyDescent="0.3">
      <c r="E132" s="4" t="s">
        <v>271</v>
      </c>
      <c r="F132" s="5">
        <v>45583</v>
      </c>
      <c r="G132" s="4" t="s">
        <v>226</v>
      </c>
      <c r="H132" s="4" t="s">
        <v>227</v>
      </c>
      <c r="I132" s="4" t="s">
        <v>52</v>
      </c>
      <c r="J132" s="4" t="s">
        <v>53</v>
      </c>
      <c r="K132" s="4" t="s">
        <v>19</v>
      </c>
      <c r="L132" s="4">
        <v>2</v>
      </c>
      <c r="M132" s="4">
        <v>149.99</v>
      </c>
      <c r="N132" s="4" t="s">
        <v>26</v>
      </c>
      <c r="O132" s="4" t="s">
        <v>50</v>
      </c>
      <c r="P132" s="4" t="s">
        <v>22</v>
      </c>
      <c r="Q132" s="5">
        <v>44916</v>
      </c>
      <c r="R132" s="4">
        <v>299.98</v>
      </c>
      <c r="S132" s="12">
        <f t="shared" ca="1" si="6"/>
        <v>46038.591457291666</v>
      </c>
      <c r="T132" s="13">
        <f t="shared" ca="1" si="7"/>
        <v>46038</v>
      </c>
      <c r="U132" s="13">
        <f t="shared" si="8"/>
        <v>45596</v>
      </c>
      <c r="V132">
        <v>1</v>
      </c>
    </row>
    <row r="133" spans="5:22" ht="15.75" customHeight="1" x14ac:dyDescent="0.3">
      <c r="E133" s="4" t="s">
        <v>272</v>
      </c>
      <c r="F133" s="5">
        <v>45586</v>
      </c>
      <c r="G133" s="4" t="s">
        <v>226</v>
      </c>
      <c r="H133" s="4" t="s">
        <v>227</v>
      </c>
      <c r="I133" s="4" t="s">
        <v>117</v>
      </c>
      <c r="J133" s="4" t="s">
        <v>118</v>
      </c>
      <c r="K133" s="4" t="s">
        <v>19</v>
      </c>
      <c r="L133" s="4">
        <v>3</v>
      </c>
      <c r="M133" s="4">
        <v>89.99</v>
      </c>
      <c r="N133" s="4" t="s">
        <v>34</v>
      </c>
      <c r="O133" s="4" t="s">
        <v>21</v>
      </c>
      <c r="P133" s="4" t="s">
        <v>22</v>
      </c>
      <c r="Q133" s="5">
        <v>44551</v>
      </c>
      <c r="R133" s="4">
        <v>269.97000000000003</v>
      </c>
      <c r="S133" s="12">
        <f t="shared" ca="1" si="6"/>
        <v>46038.591457291666</v>
      </c>
      <c r="T133" s="13">
        <f t="shared" ca="1" si="7"/>
        <v>46038</v>
      </c>
      <c r="U133" s="13">
        <f t="shared" si="8"/>
        <v>45596</v>
      </c>
      <c r="V133">
        <v>2</v>
      </c>
    </row>
    <row r="134" spans="5:22" ht="15.75" customHeight="1" x14ac:dyDescent="0.3">
      <c r="E134" s="4" t="s">
        <v>273</v>
      </c>
      <c r="F134" s="5">
        <v>45588</v>
      </c>
      <c r="G134" s="4" t="s">
        <v>38</v>
      </c>
      <c r="H134" s="4" t="s">
        <v>39</v>
      </c>
      <c r="I134" s="4" t="s">
        <v>52</v>
      </c>
      <c r="J134" s="4" t="s">
        <v>53</v>
      </c>
      <c r="K134" s="4" t="s">
        <v>19</v>
      </c>
      <c r="L134" s="4">
        <v>2</v>
      </c>
      <c r="M134" s="4">
        <v>149.99</v>
      </c>
      <c r="N134" s="4" t="s">
        <v>34</v>
      </c>
      <c r="O134" s="4" t="s">
        <v>21</v>
      </c>
      <c r="P134" s="4" t="s">
        <v>22</v>
      </c>
      <c r="Q134" s="5">
        <v>44473</v>
      </c>
      <c r="R134" s="4">
        <v>299.98</v>
      </c>
      <c r="S134" s="12">
        <f t="shared" ca="1" si="6"/>
        <v>46038.591457291666</v>
      </c>
      <c r="T134" s="13">
        <f t="shared" ca="1" si="7"/>
        <v>46038</v>
      </c>
      <c r="U134" s="13">
        <f t="shared" si="8"/>
        <v>45596</v>
      </c>
      <c r="V134">
        <v>3</v>
      </c>
    </row>
    <row r="135" spans="5:22" ht="15.75" customHeight="1" x14ac:dyDescent="0.3">
      <c r="E135" s="4" t="s">
        <v>274</v>
      </c>
      <c r="F135" s="5">
        <v>45588</v>
      </c>
      <c r="G135" s="4" t="s">
        <v>154</v>
      </c>
      <c r="H135" s="4" t="s">
        <v>155</v>
      </c>
      <c r="I135" s="4" t="s">
        <v>80</v>
      </c>
      <c r="J135" s="4" t="s">
        <v>81</v>
      </c>
      <c r="K135" s="4" t="s">
        <v>19</v>
      </c>
      <c r="L135" s="4">
        <v>2</v>
      </c>
      <c r="M135" s="4">
        <v>699.99</v>
      </c>
      <c r="N135" s="4" t="s">
        <v>20</v>
      </c>
      <c r="O135" s="4" t="s">
        <v>21</v>
      </c>
      <c r="P135" s="4" t="s">
        <v>22</v>
      </c>
      <c r="Q135" s="5">
        <v>44992</v>
      </c>
      <c r="R135" s="4">
        <v>1399.98</v>
      </c>
      <c r="S135" s="12">
        <f t="shared" ca="1" si="6"/>
        <v>46038.591457291666</v>
      </c>
      <c r="T135" s="13">
        <f t="shared" ca="1" si="7"/>
        <v>46038</v>
      </c>
      <c r="U135" s="13">
        <f t="shared" si="8"/>
        <v>45596</v>
      </c>
      <c r="V135">
        <v>1</v>
      </c>
    </row>
    <row r="136" spans="5:22" ht="15.75" customHeight="1" x14ac:dyDescent="0.3">
      <c r="E136" s="4" t="s">
        <v>275</v>
      </c>
      <c r="F136" s="5">
        <v>45589</v>
      </c>
      <c r="G136" s="4" t="s">
        <v>158</v>
      </c>
      <c r="H136" s="4" t="s">
        <v>159</v>
      </c>
      <c r="I136" s="4" t="s">
        <v>80</v>
      </c>
      <c r="J136" s="4" t="s">
        <v>81</v>
      </c>
      <c r="K136" s="4" t="s">
        <v>19</v>
      </c>
      <c r="L136" s="4">
        <v>5</v>
      </c>
      <c r="M136" s="4">
        <v>699.99</v>
      </c>
      <c r="N136" s="4" t="s">
        <v>20</v>
      </c>
      <c r="O136" s="4" t="s">
        <v>40</v>
      </c>
      <c r="P136" s="4" t="s">
        <v>27</v>
      </c>
      <c r="Q136" s="5">
        <v>44635</v>
      </c>
      <c r="R136" s="4">
        <v>3499.95</v>
      </c>
      <c r="S136" s="12">
        <f t="shared" ca="1" si="6"/>
        <v>46038.591457291666</v>
      </c>
      <c r="T136" s="13">
        <f t="shared" ca="1" si="7"/>
        <v>46038</v>
      </c>
      <c r="U136" s="13">
        <f t="shared" si="8"/>
        <v>45596</v>
      </c>
      <c r="V136">
        <v>2</v>
      </c>
    </row>
    <row r="137" spans="5:22" ht="15.75" customHeight="1" x14ac:dyDescent="0.3">
      <c r="E137" s="4" t="s">
        <v>276</v>
      </c>
      <c r="F137" s="5">
        <v>45592</v>
      </c>
      <c r="G137" s="4" t="s">
        <v>171</v>
      </c>
      <c r="H137" s="4" t="s">
        <v>172</v>
      </c>
      <c r="I137" s="4" t="s">
        <v>117</v>
      </c>
      <c r="J137" s="4" t="s">
        <v>118</v>
      </c>
      <c r="K137" s="4" t="s">
        <v>19</v>
      </c>
      <c r="L137" s="4">
        <v>3</v>
      </c>
      <c r="M137" s="4">
        <v>89.99</v>
      </c>
      <c r="N137" s="4" t="s">
        <v>26</v>
      </c>
      <c r="O137" s="4" t="s">
        <v>40</v>
      </c>
      <c r="P137" s="4" t="s">
        <v>36</v>
      </c>
      <c r="Q137" s="5">
        <v>44615</v>
      </c>
      <c r="R137" s="4">
        <v>269.97000000000003</v>
      </c>
      <c r="S137" s="12">
        <f t="shared" ca="1" si="6"/>
        <v>46038.591457291666</v>
      </c>
      <c r="T137" s="13">
        <f t="shared" ca="1" si="7"/>
        <v>46038</v>
      </c>
      <c r="U137" s="13">
        <f t="shared" si="8"/>
        <v>45596</v>
      </c>
      <c r="V137">
        <v>2</v>
      </c>
    </row>
    <row r="138" spans="5:22" ht="15.75" customHeight="1" x14ac:dyDescent="0.3">
      <c r="E138" s="4" t="s">
        <v>277</v>
      </c>
      <c r="F138" s="5">
        <v>45597</v>
      </c>
      <c r="G138" s="4" t="s">
        <v>15</v>
      </c>
      <c r="H138" s="4" t="s">
        <v>16</v>
      </c>
      <c r="I138" s="4" t="s">
        <v>17</v>
      </c>
      <c r="J138" s="4" t="s">
        <v>18</v>
      </c>
      <c r="K138" s="4" t="s">
        <v>19</v>
      </c>
      <c r="L138" s="4">
        <v>5</v>
      </c>
      <c r="M138" s="4">
        <v>249.99</v>
      </c>
      <c r="N138" s="4" t="s">
        <v>26</v>
      </c>
      <c r="O138" s="4" t="s">
        <v>35</v>
      </c>
      <c r="P138" s="4" t="s">
        <v>36</v>
      </c>
      <c r="Q138" s="5">
        <v>44881</v>
      </c>
      <c r="R138" s="4">
        <v>1249.95</v>
      </c>
      <c r="S138" s="12">
        <f t="shared" ca="1" si="6"/>
        <v>46038.591457291666</v>
      </c>
      <c r="T138" s="13">
        <f t="shared" ca="1" si="7"/>
        <v>46038</v>
      </c>
      <c r="U138" s="13">
        <f t="shared" si="8"/>
        <v>45626</v>
      </c>
      <c r="V138">
        <v>1</v>
      </c>
    </row>
    <row r="139" spans="5:22" ht="15.75" customHeight="1" x14ac:dyDescent="0.3">
      <c r="E139" s="4" t="s">
        <v>278</v>
      </c>
      <c r="F139" s="5">
        <v>45600</v>
      </c>
      <c r="G139" s="4" t="s">
        <v>65</v>
      </c>
      <c r="H139" s="4" t="s">
        <v>66</v>
      </c>
      <c r="I139" s="4" t="s">
        <v>105</v>
      </c>
      <c r="J139" s="4" t="s">
        <v>106</v>
      </c>
      <c r="K139" s="4" t="s">
        <v>46</v>
      </c>
      <c r="L139" s="4">
        <v>3</v>
      </c>
      <c r="M139" s="4">
        <v>299.99</v>
      </c>
      <c r="N139" s="4" t="s">
        <v>26</v>
      </c>
      <c r="O139" s="4" t="s">
        <v>35</v>
      </c>
      <c r="P139" s="4" t="s">
        <v>36</v>
      </c>
      <c r="Q139" s="5">
        <v>44502</v>
      </c>
      <c r="R139" s="4">
        <v>899.97</v>
      </c>
      <c r="S139" s="12">
        <f t="shared" ca="1" si="6"/>
        <v>46038.591457291666</v>
      </c>
      <c r="T139" s="13">
        <f t="shared" ca="1" si="7"/>
        <v>46038</v>
      </c>
      <c r="U139" s="13">
        <f t="shared" si="8"/>
        <v>45626</v>
      </c>
      <c r="V139">
        <v>3</v>
      </c>
    </row>
    <row r="140" spans="5:22" ht="15.75" customHeight="1" x14ac:dyDescent="0.3">
      <c r="E140" s="4" t="s">
        <v>279</v>
      </c>
      <c r="F140" s="5">
        <v>45603</v>
      </c>
      <c r="G140" s="4" t="s">
        <v>99</v>
      </c>
      <c r="H140" s="4" t="s">
        <v>100</v>
      </c>
      <c r="I140" s="4" t="s">
        <v>117</v>
      </c>
      <c r="J140" s="4" t="s">
        <v>118</v>
      </c>
      <c r="K140" s="4" t="s">
        <v>19</v>
      </c>
      <c r="L140" s="4">
        <v>3</v>
      </c>
      <c r="M140" s="4">
        <v>89.99</v>
      </c>
      <c r="N140" s="4" t="s">
        <v>26</v>
      </c>
      <c r="O140" s="4" t="s">
        <v>40</v>
      </c>
      <c r="P140" s="4" t="s">
        <v>27</v>
      </c>
      <c r="Q140" s="5">
        <v>44420</v>
      </c>
      <c r="R140" s="4">
        <v>269.97000000000003</v>
      </c>
      <c r="S140" s="12">
        <f t="shared" ca="1" si="6"/>
        <v>46038.591457291666</v>
      </c>
      <c r="T140" s="13">
        <f t="shared" ca="1" si="7"/>
        <v>46038</v>
      </c>
      <c r="U140" s="13">
        <f t="shared" si="8"/>
        <v>45626</v>
      </c>
      <c r="V140">
        <v>3</v>
      </c>
    </row>
    <row r="141" spans="5:22" ht="15.75" customHeight="1" x14ac:dyDescent="0.3">
      <c r="E141" s="4" t="s">
        <v>280</v>
      </c>
      <c r="F141" s="5">
        <v>45604</v>
      </c>
      <c r="G141" s="4" t="s">
        <v>89</v>
      </c>
      <c r="H141" s="4" t="s">
        <v>90</v>
      </c>
      <c r="I141" s="4" t="s">
        <v>44</v>
      </c>
      <c r="J141" s="4" t="s">
        <v>45</v>
      </c>
      <c r="K141" s="4" t="s">
        <v>46</v>
      </c>
      <c r="L141" s="4">
        <v>2</v>
      </c>
      <c r="M141" s="4">
        <v>149.99</v>
      </c>
      <c r="N141" s="4" t="s">
        <v>26</v>
      </c>
      <c r="O141" s="4" t="s">
        <v>50</v>
      </c>
      <c r="P141" s="4" t="s">
        <v>27</v>
      </c>
      <c r="Q141" s="5">
        <v>44848</v>
      </c>
      <c r="R141" s="4">
        <v>299.98</v>
      </c>
      <c r="S141" s="12">
        <f t="shared" ca="1" si="6"/>
        <v>46038.591457291666</v>
      </c>
      <c r="T141" s="13">
        <f t="shared" ca="1" si="7"/>
        <v>46038</v>
      </c>
      <c r="U141" s="13">
        <f t="shared" si="8"/>
        <v>45626</v>
      </c>
      <c r="V141">
        <v>2</v>
      </c>
    </row>
    <row r="142" spans="5:22" ht="15.75" customHeight="1" x14ac:dyDescent="0.3">
      <c r="E142" s="4" t="s">
        <v>281</v>
      </c>
      <c r="F142" s="5">
        <v>45605</v>
      </c>
      <c r="G142" s="4" t="s">
        <v>185</v>
      </c>
      <c r="H142" s="4" t="s">
        <v>186</v>
      </c>
      <c r="I142" s="4" t="s">
        <v>17</v>
      </c>
      <c r="J142" s="4" t="s">
        <v>18</v>
      </c>
      <c r="K142" s="4" t="s">
        <v>19</v>
      </c>
      <c r="L142" s="4">
        <v>1</v>
      </c>
      <c r="M142" s="4">
        <v>249.99</v>
      </c>
      <c r="N142" s="4" t="s">
        <v>26</v>
      </c>
      <c r="O142" s="4" t="s">
        <v>40</v>
      </c>
      <c r="P142" s="4" t="s">
        <v>27</v>
      </c>
      <c r="Q142" s="5">
        <v>44828</v>
      </c>
      <c r="R142" s="4">
        <v>249.99</v>
      </c>
      <c r="S142" s="12">
        <f t="shared" ca="1" si="6"/>
        <v>46038.591457291666</v>
      </c>
      <c r="T142" s="13">
        <f t="shared" ca="1" si="7"/>
        <v>46038</v>
      </c>
      <c r="U142" s="13">
        <f t="shared" si="8"/>
        <v>45626</v>
      </c>
      <c r="V142">
        <v>2</v>
      </c>
    </row>
    <row r="143" spans="5:22" ht="15.75" customHeight="1" x14ac:dyDescent="0.3">
      <c r="E143" s="4" t="s">
        <v>282</v>
      </c>
      <c r="F143" s="5">
        <v>45607</v>
      </c>
      <c r="G143" s="4" t="s">
        <v>72</v>
      </c>
      <c r="H143" s="4" t="s">
        <v>73</v>
      </c>
      <c r="I143" s="4" t="s">
        <v>52</v>
      </c>
      <c r="J143" s="4" t="s">
        <v>53</v>
      </c>
      <c r="K143" s="4" t="s">
        <v>19</v>
      </c>
      <c r="L143" s="4">
        <v>3</v>
      </c>
      <c r="M143" s="4">
        <v>149.99</v>
      </c>
      <c r="N143" s="4" t="s">
        <v>20</v>
      </c>
      <c r="O143" s="4" t="s">
        <v>40</v>
      </c>
      <c r="P143" s="4" t="s">
        <v>22</v>
      </c>
      <c r="Q143" s="5">
        <v>44769</v>
      </c>
      <c r="R143" s="4">
        <v>449.97</v>
      </c>
      <c r="S143" s="12">
        <f t="shared" ca="1" si="6"/>
        <v>46038.591457291666</v>
      </c>
      <c r="T143" s="13">
        <f t="shared" ca="1" si="7"/>
        <v>46038</v>
      </c>
      <c r="U143" s="13">
        <f t="shared" si="8"/>
        <v>45626</v>
      </c>
      <c r="V143">
        <v>2</v>
      </c>
    </row>
    <row r="144" spans="5:22" ht="15.75" customHeight="1" x14ac:dyDescent="0.3">
      <c r="E144" s="4" t="s">
        <v>283</v>
      </c>
      <c r="F144" s="5">
        <v>45607</v>
      </c>
      <c r="G144" s="4" t="s">
        <v>15</v>
      </c>
      <c r="H144" s="4" t="s">
        <v>16</v>
      </c>
      <c r="I144" s="4" t="s">
        <v>31</v>
      </c>
      <c r="J144" s="4" t="s">
        <v>32</v>
      </c>
      <c r="K144" s="4" t="s">
        <v>33</v>
      </c>
      <c r="L144" s="4">
        <v>5</v>
      </c>
      <c r="M144" s="4">
        <v>59.99</v>
      </c>
      <c r="N144" s="4" t="s">
        <v>34</v>
      </c>
      <c r="O144" s="4" t="s">
        <v>50</v>
      </c>
      <c r="P144" s="4" t="s">
        <v>27</v>
      </c>
      <c r="Q144" s="5">
        <v>44694</v>
      </c>
      <c r="R144" s="4">
        <v>299.95</v>
      </c>
      <c r="S144" s="12">
        <f t="shared" ca="1" si="6"/>
        <v>46038.591457291666</v>
      </c>
      <c r="T144" s="13">
        <f t="shared" ca="1" si="7"/>
        <v>46038</v>
      </c>
      <c r="U144" s="13">
        <f t="shared" si="8"/>
        <v>45626</v>
      </c>
      <c r="V144">
        <v>2</v>
      </c>
    </row>
    <row r="145" spans="5:22" ht="15.75" customHeight="1" x14ac:dyDescent="0.3">
      <c r="E145" s="4" t="s">
        <v>284</v>
      </c>
      <c r="F145" s="5">
        <v>45607</v>
      </c>
      <c r="G145" s="4" t="s">
        <v>99</v>
      </c>
      <c r="H145" s="4" t="s">
        <v>100</v>
      </c>
      <c r="I145" s="4" t="s">
        <v>17</v>
      </c>
      <c r="J145" s="4" t="s">
        <v>18</v>
      </c>
      <c r="K145" s="4" t="s">
        <v>19</v>
      </c>
      <c r="L145" s="4">
        <v>4</v>
      </c>
      <c r="M145" s="4">
        <v>249.99</v>
      </c>
      <c r="N145" s="4" t="s">
        <v>26</v>
      </c>
      <c r="O145" s="4" t="s">
        <v>50</v>
      </c>
      <c r="P145" s="4" t="s">
        <v>36</v>
      </c>
      <c r="Q145" s="5">
        <v>44659</v>
      </c>
      <c r="R145" s="4">
        <v>999.96</v>
      </c>
      <c r="S145" s="12">
        <f t="shared" ca="1" si="6"/>
        <v>46038.591457291666</v>
      </c>
      <c r="T145" s="13">
        <f t="shared" ca="1" si="7"/>
        <v>46038</v>
      </c>
      <c r="U145" s="13">
        <f t="shared" si="8"/>
        <v>45626</v>
      </c>
      <c r="V145">
        <v>2</v>
      </c>
    </row>
    <row r="146" spans="5:22" ht="15.75" customHeight="1" x14ac:dyDescent="0.3">
      <c r="E146" s="4" t="s">
        <v>285</v>
      </c>
      <c r="F146" s="5">
        <v>45608</v>
      </c>
      <c r="G146" s="4" t="s">
        <v>154</v>
      </c>
      <c r="H146" s="4" t="s">
        <v>155</v>
      </c>
      <c r="I146" s="4" t="s">
        <v>44</v>
      </c>
      <c r="J146" s="4" t="s">
        <v>45</v>
      </c>
      <c r="K146" s="4" t="s">
        <v>46</v>
      </c>
      <c r="L146" s="4">
        <v>5</v>
      </c>
      <c r="M146" s="4">
        <v>149.99</v>
      </c>
      <c r="N146" s="4" t="s">
        <v>34</v>
      </c>
      <c r="O146" s="4" t="s">
        <v>21</v>
      </c>
      <c r="P146" s="4" t="s">
        <v>22</v>
      </c>
      <c r="Q146" s="5">
        <v>44901</v>
      </c>
      <c r="R146" s="4">
        <v>749.95</v>
      </c>
      <c r="S146" s="12">
        <f t="shared" ca="1" si="6"/>
        <v>46038.591457291666</v>
      </c>
      <c r="T146" s="13">
        <f t="shared" ca="1" si="7"/>
        <v>46038</v>
      </c>
      <c r="U146" s="13">
        <f t="shared" si="8"/>
        <v>45626</v>
      </c>
      <c r="V146">
        <v>1</v>
      </c>
    </row>
    <row r="147" spans="5:22" ht="15.75" customHeight="1" x14ac:dyDescent="0.3">
      <c r="E147" s="4" t="s">
        <v>286</v>
      </c>
      <c r="F147" s="5">
        <v>45608</v>
      </c>
      <c r="G147" s="4" t="s">
        <v>83</v>
      </c>
      <c r="H147" s="4" t="s">
        <v>84</v>
      </c>
      <c r="I147" s="4" t="s">
        <v>31</v>
      </c>
      <c r="J147" s="4" t="s">
        <v>32</v>
      </c>
      <c r="K147" s="4" t="s">
        <v>33</v>
      </c>
      <c r="L147" s="4">
        <v>3</v>
      </c>
      <c r="M147" s="4">
        <v>59.99</v>
      </c>
      <c r="N147" s="4" t="s">
        <v>57</v>
      </c>
      <c r="O147" s="4" t="s">
        <v>35</v>
      </c>
      <c r="P147" s="4" t="s">
        <v>36</v>
      </c>
      <c r="Q147" s="5">
        <v>45260</v>
      </c>
      <c r="R147" s="4">
        <v>179.97</v>
      </c>
      <c r="S147" s="12">
        <f t="shared" ca="1" si="6"/>
        <v>46038.591457291666</v>
      </c>
      <c r="T147" s="13">
        <f t="shared" ca="1" si="7"/>
        <v>46038</v>
      </c>
      <c r="U147" s="13">
        <f t="shared" si="8"/>
        <v>45626</v>
      </c>
      <c r="V147">
        <v>0</v>
      </c>
    </row>
    <row r="148" spans="5:22" ht="15.75" customHeight="1" x14ac:dyDescent="0.3">
      <c r="E148" s="4" t="s">
        <v>287</v>
      </c>
      <c r="F148" s="5">
        <v>45613</v>
      </c>
      <c r="G148" s="4" t="s">
        <v>234</v>
      </c>
      <c r="H148" s="4" t="s">
        <v>235</v>
      </c>
      <c r="I148" s="4" t="s">
        <v>44</v>
      </c>
      <c r="J148" s="4" t="s">
        <v>45</v>
      </c>
      <c r="K148" s="4" t="s">
        <v>46</v>
      </c>
      <c r="L148" s="4">
        <v>5</v>
      </c>
      <c r="M148" s="4">
        <v>149.99</v>
      </c>
      <c r="N148" s="4" t="s">
        <v>20</v>
      </c>
      <c r="O148" s="4" t="s">
        <v>40</v>
      </c>
      <c r="P148" s="4" t="s">
        <v>22</v>
      </c>
      <c r="Q148" s="5">
        <v>44869</v>
      </c>
      <c r="R148" s="4">
        <v>749.95</v>
      </c>
      <c r="S148" s="12">
        <f t="shared" ca="1" si="6"/>
        <v>46038.591457291666</v>
      </c>
      <c r="T148" s="13">
        <f t="shared" ca="1" si="7"/>
        <v>46038</v>
      </c>
      <c r="U148" s="13">
        <f t="shared" si="8"/>
        <v>45626</v>
      </c>
      <c r="V148">
        <v>2</v>
      </c>
    </row>
    <row r="149" spans="5:22" ht="15.75" customHeight="1" x14ac:dyDescent="0.3">
      <c r="E149" s="4" t="s">
        <v>288</v>
      </c>
      <c r="F149" s="5">
        <v>45613</v>
      </c>
      <c r="G149" s="4" t="s">
        <v>86</v>
      </c>
      <c r="H149" s="4" t="s">
        <v>87</v>
      </c>
      <c r="I149" s="4" t="s">
        <v>80</v>
      </c>
      <c r="J149" s="4" t="s">
        <v>81</v>
      </c>
      <c r="K149" s="4" t="s">
        <v>19</v>
      </c>
      <c r="L149" s="4">
        <v>2</v>
      </c>
      <c r="M149" s="4">
        <v>699.99</v>
      </c>
      <c r="N149" s="4" t="s">
        <v>34</v>
      </c>
      <c r="O149" s="4" t="s">
        <v>50</v>
      </c>
      <c r="P149" s="4" t="s">
        <v>36</v>
      </c>
      <c r="Q149" s="5">
        <v>44770</v>
      </c>
      <c r="R149" s="4">
        <v>1399.98</v>
      </c>
      <c r="S149" s="12">
        <f t="shared" ca="1" si="6"/>
        <v>46038.591457291666</v>
      </c>
      <c r="T149" s="13">
        <f t="shared" ca="1" si="7"/>
        <v>46038</v>
      </c>
      <c r="U149" s="13">
        <f t="shared" si="8"/>
        <v>45626</v>
      </c>
      <c r="V149">
        <v>2</v>
      </c>
    </row>
    <row r="150" spans="5:22" ht="15.75" customHeight="1" x14ac:dyDescent="0.3">
      <c r="E150" s="4" t="s">
        <v>289</v>
      </c>
      <c r="F150" s="5">
        <v>45617</v>
      </c>
      <c r="G150" s="4" t="s">
        <v>123</v>
      </c>
      <c r="H150" s="4" t="s">
        <v>124</v>
      </c>
      <c r="I150" s="4" t="s">
        <v>126</v>
      </c>
      <c r="J150" s="4" t="s">
        <v>127</v>
      </c>
      <c r="K150" s="4" t="s">
        <v>46</v>
      </c>
      <c r="L150" s="4">
        <v>4</v>
      </c>
      <c r="M150" s="4">
        <v>199.99</v>
      </c>
      <c r="N150" s="4" t="s">
        <v>57</v>
      </c>
      <c r="O150" s="4" t="s">
        <v>21</v>
      </c>
      <c r="P150" s="4" t="s">
        <v>27</v>
      </c>
      <c r="Q150" s="5">
        <v>44427</v>
      </c>
      <c r="R150" s="4">
        <v>799.96</v>
      </c>
      <c r="S150" s="12">
        <f t="shared" ca="1" si="6"/>
        <v>46038.591457291666</v>
      </c>
      <c r="T150" s="13">
        <f t="shared" ca="1" si="7"/>
        <v>46038</v>
      </c>
      <c r="U150" s="13">
        <f t="shared" si="8"/>
        <v>45626</v>
      </c>
      <c r="V150">
        <v>3</v>
      </c>
    </row>
    <row r="151" spans="5:22" ht="15.75" customHeight="1" x14ac:dyDescent="0.3">
      <c r="E151" s="4" t="s">
        <v>290</v>
      </c>
      <c r="F151" s="5">
        <v>45619</v>
      </c>
      <c r="G151" s="4" t="s">
        <v>192</v>
      </c>
      <c r="H151" s="4" t="s">
        <v>193</v>
      </c>
      <c r="I151" s="4" t="s">
        <v>31</v>
      </c>
      <c r="J151" s="4" t="s">
        <v>32</v>
      </c>
      <c r="K151" s="4" t="s">
        <v>33</v>
      </c>
      <c r="L151" s="4">
        <v>1</v>
      </c>
      <c r="M151" s="4">
        <v>59.99</v>
      </c>
      <c r="N151" s="4" t="s">
        <v>57</v>
      </c>
      <c r="O151" s="4" t="s">
        <v>50</v>
      </c>
      <c r="P151" s="4" t="s">
        <v>36</v>
      </c>
      <c r="Q151" s="5">
        <v>44560</v>
      </c>
      <c r="R151" s="4">
        <v>59.99</v>
      </c>
      <c r="S151" s="12">
        <f t="shared" ca="1" si="6"/>
        <v>46038.591457291666</v>
      </c>
      <c r="T151" s="13">
        <f t="shared" ca="1" si="7"/>
        <v>46038</v>
      </c>
      <c r="U151" s="13">
        <f t="shared" si="8"/>
        <v>45626</v>
      </c>
      <c r="V151">
        <v>2</v>
      </c>
    </row>
    <row r="152" spans="5:22" ht="15.75" customHeight="1" x14ac:dyDescent="0.3">
      <c r="E152" s="4" t="s">
        <v>291</v>
      </c>
      <c r="F152" s="5">
        <v>45619</v>
      </c>
      <c r="G152" s="4" t="s">
        <v>154</v>
      </c>
      <c r="H152" s="4" t="s">
        <v>155</v>
      </c>
      <c r="I152" s="4" t="s">
        <v>80</v>
      </c>
      <c r="J152" s="4" t="s">
        <v>81</v>
      </c>
      <c r="K152" s="4" t="s">
        <v>19</v>
      </c>
      <c r="L152" s="4">
        <v>3</v>
      </c>
      <c r="M152" s="4">
        <v>699.99</v>
      </c>
      <c r="N152" s="4" t="s">
        <v>34</v>
      </c>
      <c r="O152" s="4" t="s">
        <v>50</v>
      </c>
      <c r="P152" s="4" t="s">
        <v>36</v>
      </c>
      <c r="Q152" s="5">
        <v>44583</v>
      </c>
      <c r="R152" s="4">
        <v>2099.9699999999998</v>
      </c>
      <c r="S152" s="12">
        <f t="shared" ca="1" si="6"/>
        <v>46038.591457291666</v>
      </c>
      <c r="T152" s="13">
        <f t="shared" ca="1" si="7"/>
        <v>46038</v>
      </c>
      <c r="U152" s="13">
        <f t="shared" si="8"/>
        <v>45626</v>
      </c>
      <c r="V152">
        <v>2</v>
      </c>
    </row>
    <row r="153" spans="5:22" ht="15.75" customHeight="1" x14ac:dyDescent="0.3">
      <c r="E153" s="4" t="s">
        <v>292</v>
      </c>
      <c r="F153" s="5">
        <v>45622</v>
      </c>
      <c r="G153" s="4" t="s">
        <v>293</v>
      </c>
      <c r="H153" s="4" t="s">
        <v>294</v>
      </c>
      <c r="I153" s="4" t="s">
        <v>17</v>
      </c>
      <c r="J153" s="4" t="s">
        <v>18</v>
      </c>
      <c r="K153" s="4" t="s">
        <v>19</v>
      </c>
      <c r="L153" s="4">
        <v>5</v>
      </c>
      <c r="M153" s="4">
        <v>249.99</v>
      </c>
      <c r="N153" s="4" t="s">
        <v>26</v>
      </c>
      <c r="O153" s="4" t="s">
        <v>40</v>
      </c>
      <c r="P153" s="4" t="s">
        <v>22</v>
      </c>
      <c r="Q153" s="5">
        <v>44873</v>
      </c>
      <c r="R153" s="4">
        <v>1249.95</v>
      </c>
      <c r="S153" s="12">
        <f t="shared" ca="1" si="6"/>
        <v>46038.591457291666</v>
      </c>
      <c r="T153" s="13">
        <f t="shared" ca="1" si="7"/>
        <v>46038</v>
      </c>
      <c r="U153" s="13">
        <f t="shared" si="8"/>
        <v>45626</v>
      </c>
      <c r="V153">
        <v>2</v>
      </c>
    </row>
    <row r="154" spans="5:22" ht="15.75" customHeight="1" x14ac:dyDescent="0.3">
      <c r="E154" s="4" t="s">
        <v>295</v>
      </c>
      <c r="F154" s="5">
        <v>45623</v>
      </c>
      <c r="G154" s="4" t="s">
        <v>112</v>
      </c>
      <c r="H154" s="4" t="s">
        <v>113</v>
      </c>
      <c r="I154" s="4" t="s">
        <v>44</v>
      </c>
      <c r="J154" s="4" t="s">
        <v>45</v>
      </c>
      <c r="K154" s="4" t="s">
        <v>46</v>
      </c>
      <c r="L154" s="4">
        <v>2</v>
      </c>
      <c r="M154" s="4">
        <v>149.99</v>
      </c>
      <c r="N154" s="4" t="s">
        <v>20</v>
      </c>
      <c r="O154" s="4" t="s">
        <v>35</v>
      </c>
      <c r="P154" s="4" t="s">
        <v>36</v>
      </c>
      <c r="Q154" s="5">
        <v>45101</v>
      </c>
      <c r="R154" s="4">
        <v>299.98</v>
      </c>
      <c r="S154" s="12">
        <f t="shared" ca="1" si="6"/>
        <v>46038.591457291666</v>
      </c>
      <c r="T154" s="13">
        <f t="shared" ca="1" si="7"/>
        <v>46038</v>
      </c>
      <c r="U154" s="13">
        <f t="shared" si="8"/>
        <v>45626</v>
      </c>
      <c r="V154">
        <v>1</v>
      </c>
    </row>
    <row r="155" spans="5:22" ht="15.75" customHeight="1" x14ac:dyDescent="0.3">
      <c r="E155" s="4" t="s">
        <v>296</v>
      </c>
      <c r="F155" s="5">
        <v>45627</v>
      </c>
      <c r="G155" s="4" t="s">
        <v>29</v>
      </c>
      <c r="H155" s="4" t="s">
        <v>30</v>
      </c>
      <c r="I155" s="4" t="s">
        <v>105</v>
      </c>
      <c r="J155" s="4" t="s">
        <v>106</v>
      </c>
      <c r="K155" s="4" t="s">
        <v>46</v>
      </c>
      <c r="L155" s="4">
        <v>3</v>
      </c>
      <c r="M155" s="4">
        <v>299.99</v>
      </c>
      <c r="N155" s="4" t="s">
        <v>20</v>
      </c>
      <c r="O155" s="4" t="s">
        <v>35</v>
      </c>
      <c r="P155" s="4" t="s">
        <v>27</v>
      </c>
      <c r="Q155" s="5">
        <v>44659</v>
      </c>
      <c r="R155" s="4">
        <v>899.97</v>
      </c>
      <c r="S155" s="12">
        <f t="shared" ca="1" si="6"/>
        <v>46038.591457291666</v>
      </c>
      <c r="T155" s="13">
        <f t="shared" ca="1" si="7"/>
        <v>46038</v>
      </c>
      <c r="U155" s="13">
        <f t="shared" si="8"/>
        <v>45657</v>
      </c>
      <c r="V155">
        <v>2</v>
      </c>
    </row>
    <row r="156" spans="5:22" ht="15.75" customHeight="1" x14ac:dyDescent="0.3">
      <c r="E156" s="4" t="s">
        <v>297</v>
      </c>
      <c r="F156" s="5">
        <v>45627</v>
      </c>
      <c r="G156" s="4" t="s">
        <v>55</v>
      </c>
      <c r="H156" s="4" t="s">
        <v>56</v>
      </c>
      <c r="I156" s="4" t="s">
        <v>17</v>
      </c>
      <c r="J156" s="4" t="s">
        <v>18</v>
      </c>
      <c r="K156" s="4" t="s">
        <v>19</v>
      </c>
      <c r="L156" s="4">
        <v>5</v>
      </c>
      <c r="M156" s="4">
        <v>249.99</v>
      </c>
      <c r="N156" s="4" t="s">
        <v>20</v>
      </c>
      <c r="O156" s="4" t="s">
        <v>21</v>
      </c>
      <c r="P156" s="4" t="s">
        <v>27</v>
      </c>
      <c r="Q156" s="5">
        <v>44485</v>
      </c>
      <c r="R156" s="4">
        <v>1249.95</v>
      </c>
      <c r="S156" s="12">
        <f t="shared" ca="1" si="6"/>
        <v>46038.591457291666</v>
      </c>
      <c r="T156" s="13">
        <f t="shared" ca="1" si="7"/>
        <v>46038</v>
      </c>
      <c r="U156" s="13">
        <f t="shared" si="8"/>
        <v>45657</v>
      </c>
      <c r="V156">
        <v>3</v>
      </c>
    </row>
    <row r="157" spans="5:22" ht="15.75" customHeight="1" x14ac:dyDescent="0.3">
      <c r="E157" s="4" t="s">
        <v>298</v>
      </c>
      <c r="F157" s="5">
        <v>45627</v>
      </c>
      <c r="G157" s="4" t="s">
        <v>24</v>
      </c>
      <c r="H157" s="4" t="s">
        <v>25</v>
      </c>
      <c r="I157" s="4" t="s">
        <v>52</v>
      </c>
      <c r="J157" s="4" t="s">
        <v>53</v>
      </c>
      <c r="K157" s="4" t="s">
        <v>19</v>
      </c>
      <c r="L157" s="4">
        <v>2</v>
      </c>
      <c r="M157" s="4">
        <v>149.99</v>
      </c>
      <c r="N157" s="4" t="s">
        <v>20</v>
      </c>
      <c r="O157" s="4" t="s">
        <v>35</v>
      </c>
      <c r="P157" s="4" t="s">
        <v>27</v>
      </c>
      <c r="Q157" s="5">
        <v>44475</v>
      </c>
      <c r="R157" s="4">
        <v>299.98</v>
      </c>
      <c r="S157" s="12">
        <f t="shared" ca="1" si="6"/>
        <v>46038.591457291666</v>
      </c>
      <c r="T157" s="13">
        <f t="shared" ca="1" si="7"/>
        <v>46038</v>
      </c>
      <c r="U157" s="13">
        <f t="shared" si="8"/>
        <v>45657</v>
      </c>
      <c r="V157">
        <v>3</v>
      </c>
    </row>
    <row r="158" spans="5:22" ht="15.75" customHeight="1" x14ac:dyDescent="0.3">
      <c r="E158" s="4" t="s">
        <v>299</v>
      </c>
      <c r="F158" s="5">
        <v>45627</v>
      </c>
      <c r="G158" s="4" t="s">
        <v>86</v>
      </c>
      <c r="H158" s="4" t="s">
        <v>87</v>
      </c>
      <c r="I158" s="4" t="s">
        <v>80</v>
      </c>
      <c r="J158" s="4" t="s">
        <v>81</v>
      </c>
      <c r="K158" s="4" t="s">
        <v>19</v>
      </c>
      <c r="L158" s="4">
        <v>5</v>
      </c>
      <c r="M158" s="4">
        <v>699.99</v>
      </c>
      <c r="N158" s="4" t="s">
        <v>57</v>
      </c>
      <c r="O158" s="4" t="s">
        <v>50</v>
      </c>
      <c r="P158" s="4" t="s">
        <v>36</v>
      </c>
      <c r="Q158" s="5">
        <v>44944</v>
      </c>
      <c r="R158" s="4">
        <v>3499.95</v>
      </c>
      <c r="S158" s="12">
        <f t="shared" ca="1" si="6"/>
        <v>46038.591457291666</v>
      </c>
      <c r="T158" s="13">
        <f t="shared" ca="1" si="7"/>
        <v>46038</v>
      </c>
      <c r="U158" s="13">
        <f t="shared" si="8"/>
        <v>45657</v>
      </c>
      <c r="V158">
        <v>1</v>
      </c>
    </row>
    <row r="159" spans="5:22" ht="15.75" customHeight="1" x14ac:dyDescent="0.3">
      <c r="E159" s="4" t="s">
        <v>300</v>
      </c>
      <c r="F159" s="5">
        <v>45629</v>
      </c>
      <c r="G159" s="4" t="s">
        <v>252</v>
      </c>
      <c r="H159" s="4" t="s">
        <v>253</v>
      </c>
      <c r="I159" s="4" t="s">
        <v>17</v>
      </c>
      <c r="J159" s="4" t="s">
        <v>18</v>
      </c>
      <c r="K159" s="4" t="s">
        <v>19</v>
      </c>
      <c r="L159" s="4">
        <v>4</v>
      </c>
      <c r="M159" s="4">
        <v>249.99</v>
      </c>
      <c r="N159" s="4" t="s">
        <v>34</v>
      </c>
      <c r="O159" s="4" t="s">
        <v>63</v>
      </c>
      <c r="P159" s="4" t="s">
        <v>27</v>
      </c>
      <c r="Q159" s="5">
        <v>45098</v>
      </c>
      <c r="R159" s="4">
        <v>999.96</v>
      </c>
      <c r="S159" s="12">
        <f t="shared" ca="1" si="6"/>
        <v>46038.591457291666</v>
      </c>
      <c r="T159" s="13">
        <f t="shared" ca="1" si="7"/>
        <v>46038</v>
      </c>
      <c r="U159" s="13">
        <f t="shared" si="8"/>
        <v>45657</v>
      </c>
      <c r="V159">
        <v>1</v>
      </c>
    </row>
    <row r="160" spans="5:22" ht="15.75" customHeight="1" x14ac:dyDescent="0.3">
      <c r="E160" s="4" t="s">
        <v>301</v>
      </c>
      <c r="F160" s="5">
        <v>45630</v>
      </c>
      <c r="G160" s="4" t="s">
        <v>48</v>
      </c>
      <c r="H160" s="4" t="s">
        <v>49</v>
      </c>
      <c r="I160" s="4" t="s">
        <v>80</v>
      </c>
      <c r="J160" s="4" t="s">
        <v>81</v>
      </c>
      <c r="K160" s="4" t="s">
        <v>19</v>
      </c>
      <c r="L160" s="4">
        <v>4</v>
      </c>
      <c r="M160" s="4">
        <v>699.99</v>
      </c>
      <c r="N160" s="4" t="s">
        <v>26</v>
      </c>
      <c r="O160" s="4" t="s">
        <v>40</v>
      </c>
      <c r="P160" s="4" t="s">
        <v>27</v>
      </c>
      <c r="Q160" s="5">
        <v>44703</v>
      </c>
      <c r="R160" s="4">
        <v>2799.96</v>
      </c>
      <c r="S160" s="12">
        <f t="shared" ca="1" si="6"/>
        <v>46038.591457291666</v>
      </c>
      <c r="T160" s="13">
        <f t="shared" ca="1" si="7"/>
        <v>46038</v>
      </c>
      <c r="U160" s="13">
        <f t="shared" si="8"/>
        <v>45657</v>
      </c>
      <c r="V160">
        <v>2</v>
      </c>
    </row>
    <row r="161" spans="5:22" ht="15.75" customHeight="1" x14ac:dyDescent="0.3">
      <c r="E161" s="4" t="s">
        <v>302</v>
      </c>
      <c r="F161" s="5">
        <v>45635</v>
      </c>
      <c r="G161" s="4" t="s">
        <v>108</v>
      </c>
      <c r="H161" s="4" t="s">
        <v>109</v>
      </c>
      <c r="I161" s="4" t="s">
        <v>17</v>
      </c>
      <c r="J161" s="4" t="s">
        <v>18</v>
      </c>
      <c r="K161" s="4" t="s">
        <v>19</v>
      </c>
      <c r="L161" s="4">
        <v>2</v>
      </c>
      <c r="M161" s="4">
        <v>249.99</v>
      </c>
      <c r="N161" s="4" t="s">
        <v>26</v>
      </c>
      <c r="O161" s="4" t="s">
        <v>21</v>
      </c>
      <c r="P161" s="4" t="s">
        <v>27</v>
      </c>
      <c r="Q161" s="5">
        <v>44396</v>
      </c>
      <c r="R161" s="4">
        <v>499.98</v>
      </c>
      <c r="S161" s="12">
        <f t="shared" ca="1" si="6"/>
        <v>46038.591457291666</v>
      </c>
      <c r="T161" s="13">
        <f t="shared" ca="1" si="7"/>
        <v>46038</v>
      </c>
      <c r="U161" s="13">
        <f t="shared" si="8"/>
        <v>45657</v>
      </c>
      <c r="V161">
        <v>3</v>
      </c>
    </row>
    <row r="162" spans="5:22" ht="15.75" customHeight="1" x14ac:dyDescent="0.3">
      <c r="E162" s="4" t="s">
        <v>303</v>
      </c>
      <c r="F162" s="5">
        <v>45635</v>
      </c>
      <c r="G162" s="4" t="s">
        <v>304</v>
      </c>
      <c r="H162" s="4" t="s">
        <v>305</v>
      </c>
      <c r="I162" s="4" t="s">
        <v>31</v>
      </c>
      <c r="J162" s="4" t="s">
        <v>32</v>
      </c>
      <c r="K162" s="4" t="s">
        <v>33</v>
      </c>
      <c r="L162" s="4">
        <v>3</v>
      </c>
      <c r="M162" s="4">
        <v>59.99</v>
      </c>
      <c r="N162" s="4" t="s">
        <v>20</v>
      </c>
      <c r="O162" s="4" t="s">
        <v>21</v>
      </c>
      <c r="P162" s="4" t="s">
        <v>27</v>
      </c>
      <c r="Q162" s="5">
        <v>45052</v>
      </c>
      <c r="R162" s="4">
        <v>179.97</v>
      </c>
      <c r="S162" s="12">
        <f t="shared" ca="1" si="6"/>
        <v>46038.591457291666</v>
      </c>
      <c r="T162" s="13">
        <f t="shared" ca="1" si="7"/>
        <v>46038</v>
      </c>
      <c r="U162" s="13">
        <f t="shared" si="8"/>
        <v>45657</v>
      </c>
      <c r="V162">
        <v>1</v>
      </c>
    </row>
    <row r="163" spans="5:22" ht="15.75" customHeight="1" x14ac:dyDescent="0.3">
      <c r="E163" s="4" t="s">
        <v>306</v>
      </c>
      <c r="F163" s="5">
        <v>45635</v>
      </c>
      <c r="G163" s="4" t="s">
        <v>141</v>
      </c>
      <c r="H163" s="4" t="s">
        <v>142</v>
      </c>
      <c r="I163" s="4" t="s">
        <v>114</v>
      </c>
      <c r="J163" s="4" t="s">
        <v>115</v>
      </c>
      <c r="K163" s="4" t="s">
        <v>33</v>
      </c>
      <c r="L163" s="4">
        <v>4</v>
      </c>
      <c r="M163" s="4">
        <v>79.989999999999995</v>
      </c>
      <c r="N163" s="4" t="s">
        <v>57</v>
      </c>
      <c r="O163" s="4" t="s">
        <v>63</v>
      </c>
      <c r="P163" s="4" t="s">
        <v>36</v>
      </c>
      <c r="Q163" s="5">
        <v>44921</v>
      </c>
      <c r="R163" s="4">
        <v>319.95999999999998</v>
      </c>
      <c r="S163" s="12">
        <f t="shared" ca="1" si="6"/>
        <v>46038.591457291666</v>
      </c>
      <c r="T163" s="13">
        <f t="shared" ca="1" si="7"/>
        <v>46038</v>
      </c>
      <c r="U163" s="13">
        <f t="shared" si="8"/>
        <v>45657</v>
      </c>
      <c r="V163">
        <v>1</v>
      </c>
    </row>
    <row r="164" spans="5:22" ht="15.75" customHeight="1" x14ac:dyDescent="0.3">
      <c r="E164" s="4" t="s">
        <v>307</v>
      </c>
      <c r="F164" s="5">
        <v>45636</v>
      </c>
      <c r="G164" s="4" t="s">
        <v>120</v>
      </c>
      <c r="H164" s="4" t="s">
        <v>121</v>
      </c>
      <c r="I164" s="4" t="s">
        <v>114</v>
      </c>
      <c r="J164" s="4" t="s">
        <v>115</v>
      </c>
      <c r="K164" s="4" t="s">
        <v>33</v>
      </c>
      <c r="L164" s="4">
        <v>3</v>
      </c>
      <c r="M164" s="4">
        <v>79.989999999999995</v>
      </c>
      <c r="N164" s="4" t="s">
        <v>57</v>
      </c>
      <c r="O164" s="4" t="s">
        <v>63</v>
      </c>
      <c r="P164" s="4" t="s">
        <v>36</v>
      </c>
      <c r="Q164" s="5">
        <v>44779</v>
      </c>
      <c r="R164" s="4">
        <v>239.97</v>
      </c>
      <c r="S164" s="12">
        <f t="shared" ca="1" si="6"/>
        <v>46038.591457291666</v>
      </c>
      <c r="T164" s="13">
        <f t="shared" ca="1" si="7"/>
        <v>46038</v>
      </c>
      <c r="U164" s="13">
        <f t="shared" si="8"/>
        <v>45657</v>
      </c>
      <c r="V164">
        <v>2</v>
      </c>
    </row>
    <row r="165" spans="5:22" ht="15.75" customHeight="1" x14ac:dyDescent="0.3">
      <c r="E165" s="4" t="s">
        <v>308</v>
      </c>
      <c r="F165" s="5">
        <v>45638</v>
      </c>
      <c r="G165" s="4" t="s">
        <v>72</v>
      </c>
      <c r="H165" s="4" t="s">
        <v>73</v>
      </c>
      <c r="I165" s="4" t="s">
        <v>61</v>
      </c>
      <c r="J165" s="4" t="s">
        <v>62</v>
      </c>
      <c r="K165" s="4" t="s">
        <v>19</v>
      </c>
      <c r="L165" s="4">
        <v>2</v>
      </c>
      <c r="M165" s="4">
        <v>899.99</v>
      </c>
      <c r="N165" s="4" t="s">
        <v>20</v>
      </c>
      <c r="O165" s="4" t="s">
        <v>40</v>
      </c>
      <c r="P165" s="4" t="s">
        <v>22</v>
      </c>
      <c r="Q165" s="5">
        <v>44406</v>
      </c>
      <c r="R165" s="4">
        <v>1799.98</v>
      </c>
      <c r="S165" s="12">
        <f t="shared" ca="1" si="6"/>
        <v>46038.591457291666</v>
      </c>
      <c r="T165" s="13">
        <f t="shared" ca="1" si="7"/>
        <v>46038</v>
      </c>
      <c r="U165" s="13">
        <f t="shared" si="8"/>
        <v>45657</v>
      </c>
      <c r="V165">
        <v>3</v>
      </c>
    </row>
    <row r="166" spans="5:22" ht="15.75" customHeight="1" x14ac:dyDescent="0.3">
      <c r="E166" s="4" t="s">
        <v>309</v>
      </c>
      <c r="F166" s="5">
        <v>45641</v>
      </c>
      <c r="G166" s="4" t="s">
        <v>182</v>
      </c>
      <c r="H166" s="4" t="s">
        <v>183</v>
      </c>
      <c r="I166" s="4" t="s">
        <v>44</v>
      </c>
      <c r="J166" s="4" t="s">
        <v>45</v>
      </c>
      <c r="K166" s="4" t="s">
        <v>46</v>
      </c>
      <c r="L166" s="4">
        <v>1</v>
      </c>
      <c r="M166" s="4">
        <v>149.99</v>
      </c>
      <c r="N166" s="4" t="s">
        <v>57</v>
      </c>
      <c r="O166" s="4" t="s">
        <v>63</v>
      </c>
      <c r="P166" s="4" t="s">
        <v>36</v>
      </c>
      <c r="Q166" s="5">
        <v>45200</v>
      </c>
      <c r="R166" s="4">
        <v>149.99</v>
      </c>
      <c r="S166" s="12">
        <f t="shared" ca="1" si="6"/>
        <v>46038.591457291666</v>
      </c>
      <c r="T166" s="13">
        <f t="shared" ca="1" si="7"/>
        <v>46038</v>
      </c>
      <c r="U166" s="13">
        <f t="shared" si="8"/>
        <v>45657</v>
      </c>
      <c r="V166">
        <v>1</v>
      </c>
    </row>
    <row r="167" spans="5:22" ht="15.75" customHeight="1" x14ac:dyDescent="0.3">
      <c r="E167" s="4" t="s">
        <v>310</v>
      </c>
      <c r="F167" s="5">
        <v>45641</v>
      </c>
      <c r="G167" s="4" t="s">
        <v>138</v>
      </c>
      <c r="H167" s="4" t="s">
        <v>139</v>
      </c>
      <c r="I167" s="4" t="s">
        <v>105</v>
      </c>
      <c r="J167" s="4" t="s">
        <v>106</v>
      </c>
      <c r="K167" s="4" t="s">
        <v>46</v>
      </c>
      <c r="L167" s="4">
        <v>2</v>
      </c>
      <c r="M167" s="4">
        <v>299.99</v>
      </c>
      <c r="N167" s="4" t="s">
        <v>20</v>
      </c>
      <c r="O167" s="4" t="s">
        <v>63</v>
      </c>
      <c r="P167" s="4" t="s">
        <v>27</v>
      </c>
      <c r="Q167" s="5">
        <v>44724</v>
      </c>
      <c r="R167" s="4">
        <v>599.98</v>
      </c>
      <c r="S167" s="12">
        <f t="shared" ca="1" si="6"/>
        <v>46038.591457291666</v>
      </c>
      <c r="T167" s="13">
        <f t="shared" ca="1" si="7"/>
        <v>46038</v>
      </c>
      <c r="U167" s="13">
        <f t="shared" si="8"/>
        <v>45657</v>
      </c>
      <c r="V167">
        <v>2</v>
      </c>
    </row>
    <row r="168" spans="5:22" ht="15.75" customHeight="1" x14ac:dyDescent="0.3">
      <c r="E168" s="4" t="s">
        <v>311</v>
      </c>
      <c r="F168" s="5">
        <v>45644</v>
      </c>
      <c r="G168" s="4" t="s">
        <v>132</v>
      </c>
      <c r="H168" s="4" t="s">
        <v>133</v>
      </c>
      <c r="I168" s="4" t="s">
        <v>31</v>
      </c>
      <c r="J168" s="4" t="s">
        <v>32</v>
      </c>
      <c r="K168" s="4" t="s">
        <v>33</v>
      </c>
      <c r="L168" s="4">
        <v>2</v>
      </c>
      <c r="M168" s="4">
        <v>59.99</v>
      </c>
      <c r="N168" s="4" t="s">
        <v>20</v>
      </c>
      <c r="O168" s="4" t="s">
        <v>50</v>
      </c>
      <c r="P168" s="4" t="s">
        <v>22</v>
      </c>
      <c r="Q168" s="5">
        <v>45191</v>
      </c>
      <c r="R168" s="4">
        <v>119.98</v>
      </c>
      <c r="S168" s="12">
        <f t="shared" ca="1" si="6"/>
        <v>46038.591457291666</v>
      </c>
      <c r="T168" s="13">
        <f t="shared" ca="1" si="7"/>
        <v>46038</v>
      </c>
      <c r="U168" s="13">
        <f t="shared" si="8"/>
        <v>45657</v>
      </c>
      <c r="V168">
        <v>1</v>
      </c>
    </row>
    <row r="169" spans="5:22" ht="15.75" customHeight="1" x14ac:dyDescent="0.3">
      <c r="E169" s="4" t="s">
        <v>312</v>
      </c>
      <c r="F169" s="5">
        <v>45645</v>
      </c>
      <c r="G169" s="4" t="s">
        <v>182</v>
      </c>
      <c r="H169" s="4" t="s">
        <v>183</v>
      </c>
      <c r="I169" s="4" t="s">
        <v>117</v>
      </c>
      <c r="J169" s="4" t="s">
        <v>118</v>
      </c>
      <c r="K169" s="4" t="s">
        <v>19</v>
      </c>
      <c r="L169" s="4">
        <v>1</v>
      </c>
      <c r="M169" s="4">
        <v>89.99</v>
      </c>
      <c r="N169" s="4" t="s">
        <v>57</v>
      </c>
      <c r="O169" s="4" t="s">
        <v>21</v>
      </c>
      <c r="P169" s="4" t="s">
        <v>36</v>
      </c>
      <c r="Q169" s="5">
        <v>44760</v>
      </c>
      <c r="R169" s="4">
        <v>89.99</v>
      </c>
      <c r="S169" s="12">
        <f t="shared" ca="1" si="6"/>
        <v>46038.591457291666</v>
      </c>
      <c r="T169" s="13">
        <f t="shared" ca="1" si="7"/>
        <v>46038</v>
      </c>
      <c r="U169" s="13">
        <f t="shared" si="8"/>
        <v>45657</v>
      </c>
      <c r="V169">
        <v>2</v>
      </c>
    </row>
    <row r="170" spans="5:22" ht="15.75" customHeight="1" x14ac:dyDescent="0.3">
      <c r="E170" s="4" t="s">
        <v>313</v>
      </c>
      <c r="F170" s="5">
        <v>45645</v>
      </c>
      <c r="G170" s="4" t="s">
        <v>147</v>
      </c>
      <c r="H170" s="4" t="s">
        <v>148</v>
      </c>
      <c r="I170" s="4" t="s">
        <v>61</v>
      </c>
      <c r="J170" s="4" t="s">
        <v>62</v>
      </c>
      <c r="K170" s="4" t="s">
        <v>19</v>
      </c>
      <c r="L170" s="4">
        <v>5</v>
      </c>
      <c r="M170" s="4">
        <v>899.99</v>
      </c>
      <c r="N170" s="4" t="s">
        <v>57</v>
      </c>
      <c r="O170" s="4" t="s">
        <v>63</v>
      </c>
      <c r="P170" s="4" t="s">
        <v>36</v>
      </c>
      <c r="Q170" s="5">
        <v>44625</v>
      </c>
      <c r="R170" s="4">
        <v>4499.95</v>
      </c>
      <c r="S170" s="12">
        <f t="shared" ca="1" si="6"/>
        <v>46038.591457291666</v>
      </c>
      <c r="T170" s="13">
        <f t="shared" ca="1" si="7"/>
        <v>46038</v>
      </c>
      <c r="U170" s="13">
        <f t="shared" si="8"/>
        <v>45657</v>
      </c>
      <c r="V170">
        <v>2</v>
      </c>
    </row>
    <row r="171" spans="5:22" ht="15.75" customHeight="1" x14ac:dyDescent="0.3">
      <c r="E171" s="4" t="s">
        <v>314</v>
      </c>
      <c r="F171" s="5">
        <v>45646</v>
      </c>
      <c r="G171" s="4" t="s">
        <v>42</v>
      </c>
      <c r="H171" s="4" t="s">
        <v>43</v>
      </c>
      <c r="I171" s="4" t="s">
        <v>44</v>
      </c>
      <c r="J171" s="4" t="s">
        <v>45</v>
      </c>
      <c r="K171" s="4" t="s">
        <v>46</v>
      </c>
      <c r="L171" s="4">
        <v>2</v>
      </c>
      <c r="M171" s="4">
        <v>149.99</v>
      </c>
      <c r="N171" s="4" t="s">
        <v>20</v>
      </c>
      <c r="O171" s="4" t="s">
        <v>35</v>
      </c>
      <c r="P171" s="4" t="s">
        <v>22</v>
      </c>
      <c r="Q171" s="5">
        <v>45239</v>
      </c>
      <c r="R171" s="4">
        <v>299.98</v>
      </c>
      <c r="S171" s="12">
        <f t="shared" ca="1" si="6"/>
        <v>46038.591457291666</v>
      </c>
      <c r="T171" s="13">
        <f t="shared" ca="1" si="7"/>
        <v>46038</v>
      </c>
      <c r="U171" s="13">
        <f t="shared" si="8"/>
        <v>45657</v>
      </c>
      <c r="V171">
        <v>1</v>
      </c>
    </row>
    <row r="172" spans="5:22" ht="15.75" customHeight="1" x14ac:dyDescent="0.3">
      <c r="E172" s="4" t="s">
        <v>315</v>
      </c>
      <c r="F172" s="5">
        <v>45648</v>
      </c>
      <c r="G172" s="4" t="s">
        <v>112</v>
      </c>
      <c r="H172" s="4" t="s">
        <v>113</v>
      </c>
      <c r="I172" s="4" t="s">
        <v>52</v>
      </c>
      <c r="J172" s="4" t="s">
        <v>53</v>
      </c>
      <c r="K172" s="4" t="s">
        <v>19</v>
      </c>
      <c r="L172" s="4">
        <v>2</v>
      </c>
      <c r="M172" s="4">
        <v>149.99</v>
      </c>
      <c r="N172" s="4" t="s">
        <v>57</v>
      </c>
      <c r="O172" s="4" t="s">
        <v>50</v>
      </c>
      <c r="P172" s="4" t="s">
        <v>27</v>
      </c>
      <c r="Q172" s="5">
        <v>45280</v>
      </c>
      <c r="R172" s="4">
        <v>299.98</v>
      </c>
      <c r="S172" s="12">
        <f t="shared" ca="1" si="6"/>
        <v>46038.591457291666</v>
      </c>
      <c r="T172" s="13">
        <f t="shared" ca="1" si="7"/>
        <v>46038</v>
      </c>
      <c r="U172" s="13">
        <f t="shared" si="8"/>
        <v>45657</v>
      </c>
      <c r="V172">
        <v>1</v>
      </c>
    </row>
    <row r="173" spans="5:22" ht="15.75" customHeight="1" x14ac:dyDescent="0.3">
      <c r="E173" s="4" t="s">
        <v>316</v>
      </c>
      <c r="F173" s="5">
        <v>45648</v>
      </c>
      <c r="G173" s="4" t="s">
        <v>182</v>
      </c>
      <c r="H173" s="4" t="s">
        <v>183</v>
      </c>
      <c r="I173" s="4" t="s">
        <v>44</v>
      </c>
      <c r="J173" s="4" t="s">
        <v>45</v>
      </c>
      <c r="K173" s="4" t="s">
        <v>46</v>
      </c>
      <c r="L173" s="4">
        <v>3</v>
      </c>
      <c r="M173" s="4">
        <v>149.99</v>
      </c>
      <c r="N173" s="4" t="s">
        <v>57</v>
      </c>
      <c r="O173" s="4" t="s">
        <v>40</v>
      </c>
      <c r="P173" s="4" t="s">
        <v>36</v>
      </c>
      <c r="Q173" s="5">
        <v>44522</v>
      </c>
      <c r="R173" s="4">
        <v>449.97</v>
      </c>
      <c r="S173" s="12">
        <f t="shared" ca="1" si="6"/>
        <v>46038.591457291666</v>
      </c>
      <c r="T173" s="13">
        <f t="shared" ca="1" si="7"/>
        <v>46038</v>
      </c>
      <c r="U173" s="13">
        <f t="shared" si="8"/>
        <v>45657</v>
      </c>
      <c r="V173">
        <v>3</v>
      </c>
    </row>
    <row r="174" spans="5:22" ht="15.75" customHeight="1" x14ac:dyDescent="0.3">
      <c r="E174" s="4" t="s">
        <v>317</v>
      </c>
      <c r="F174" s="5">
        <v>45649</v>
      </c>
      <c r="G174" s="4" t="s">
        <v>29</v>
      </c>
      <c r="H174" s="4" t="s">
        <v>30</v>
      </c>
      <c r="I174" s="4" t="s">
        <v>105</v>
      </c>
      <c r="J174" s="4" t="s">
        <v>106</v>
      </c>
      <c r="K174" s="4" t="s">
        <v>46</v>
      </c>
      <c r="L174" s="4">
        <v>2</v>
      </c>
      <c r="M174" s="4">
        <v>299.99</v>
      </c>
      <c r="N174" s="4" t="s">
        <v>34</v>
      </c>
      <c r="O174" s="4" t="s">
        <v>35</v>
      </c>
      <c r="P174" s="4" t="s">
        <v>22</v>
      </c>
      <c r="Q174" s="5">
        <v>44721</v>
      </c>
      <c r="R174" s="4">
        <v>599.98</v>
      </c>
      <c r="S174" s="12">
        <f t="shared" ca="1" si="6"/>
        <v>46038.591457291666</v>
      </c>
      <c r="T174" s="13">
        <f t="shared" ca="1" si="7"/>
        <v>46038</v>
      </c>
      <c r="U174" s="13">
        <f t="shared" si="8"/>
        <v>45657</v>
      </c>
      <c r="V174">
        <v>2</v>
      </c>
    </row>
    <row r="175" spans="5:22" ht="15.75" customHeight="1" x14ac:dyDescent="0.3">
      <c r="E175" s="4" t="s">
        <v>318</v>
      </c>
      <c r="F175" s="5">
        <v>45654</v>
      </c>
      <c r="G175" s="4" t="s">
        <v>42</v>
      </c>
      <c r="H175" s="4" t="s">
        <v>43</v>
      </c>
      <c r="I175" s="4" t="s">
        <v>105</v>
      </c>
      <c r="J175" s="4" t="s">
        <v>106</v>
      </c>
      <c r="K175" s="4" t="s">
        <v>46</v>
      </c>
      <c r="L175" s="4">
        <v>2</v>
      </c>
      <c r="M175" s="4">
        <v>299.99</v>
      </c>
      <c r="N175" s="4" t="s">
        <v>20</v>
      </c>
      <c r="O175" s="4" t="s">
        <v>50</v>
      </c>
      <c r="P175" s="4" t="s">
        <v>22</v>
      </c>
      <c r="Q175" s="5">
        <v>44771</v>
      </c>
      <c r="R175" s="4">
        <v>599.98</v>
      </c>
      <c r="S175" s="12">
        <f t="shared" ca="1" si="6"/>
        <v>46038.591457291666</v>
      </c>
      <c r="T175" s="13">
        <f t="shared" ca="1" si="7"/>
        <v>46038</v>
      </c>
      <c r="U175" s="13">
        <f t="shared" si="8"/>
        <v>45657</v>
      </c>
      <c r="V175">
        <v>2</v>
      </c>
    </row>
    <row r="176" spans="5:22" ht="15.75" customHeight="1" x14ac:dyDescent="0.3">
      <c r="E176" s="4" t="s">
        <v>319</v>
      </c>
      <c r="F176" s="5">
        <v>45654</v>
      </c>
      <c r="G176" s="4" t="s">
        <v>120</v>
      </c>
      <c r="H176" s="4" t="s">
        <v>121</v>
      </c>
      <c r="I176" s="4" t="s">
        <v>126</v>
      </c>
      <c r="J176" s="4" t="s">
        <v>127</v>
      </c>
      <c r="K176" s="4" t="s">
        <v>46</v>
      </c>
      <c r="L176" s="4">
        <v>4</v>
      </c>
      <c r="M176" s="4">
        <v>199.99</v>
      </c>
      <c r="N176" s="4" t="s">
        <v>26</v>
      </c>
      <c r="O176" s="4" t="s">
        <v>21</v>
      </c>
      <c r="P176" s="4" t="s">
        <v>22</v>
      </c>
      <c r="Q176" s="5">
        <v>44523</v>
      </c>
      <c r="R176" s="4">
        <v>799.96</v>
      </c>
      <c r="S176" s="12">
        <f t="shared" ca="1" si="6"/>
        <v>46038.591457291666</v>
      </c>
      <c r="T176" s="13">
        <f t="shared" ca="1" si="7"/>
        <v>46038</v>
      </c>
      <c r="U176" s="13">
        <f t="shared" si="8"/>
        <v>45657</v>
      </c>
      <c r="V176">
        <v>3</v>
      </c>
    </row>
    <row r="177" spans="5:22" ht="15.75" customHeight="1" x14ac:dyDescent="0.3">
      <c r="E177" s="4" t="s">
        <v>320</v>
      </c>
      <c r="F177" s="5">
        <v>45655</v>
      </c>
      <c r="G177" s="4" t="s">
        <v>59</v>
      </c>
      <c r="H177" s="4" t="s">
        <v>60</v>
      </c>
      <c r="I177" s="4" t="s">
        <v>117</v>
      </c>
      <c r="J177" s="4" t="s">
        <v>118</v>
      </c>
      <c r="K177" s="4" t="s">
        <v>19</v>
      </c>
      <c r="L177" s="4">
        <v>1</v>
      </c>
      <c r="M177" s="4">
        <v>89.99</v>
      </c>
      <c r="N177" s="4" t="s">
        <v>26</v>
      </c>
      <c r="O177" s="4" t="s">
        <v>35</v>
      </c>
      <c r="P177" s="4" t="s">
        <v>27</v>
      </c>
      <c r="Q177" s="5">
        <v>44591</v>
      </c>
      <c r="R177" s="4">
        <v>89.99</v>
      </c>
      <c r="S177" s="12">
        <f t="shared" ca="1" si="6"/>
        <v>46038.591457291666</v>
      </c>
      <c r="T177" s="13">
        <f t="shared" ca="1" si="7"/>
        <v>46038</v>
      </c>
      <c r="U177" s="13">
        <f t="shared" si="8"/>
        <v>45657</v>
      </c>
      <c r="V177">
        <v>2</v>
      </c>
    </row>
    <row r="178" spans="5:22" ht="15.75" customHeight="1" x14ac:dyDescent="0.3">
      <c r="E178" s="4" t="s">
        <v>321</v>
      </c>
      <c r="F178" s="5">
        <v>45655</v>
      </c>
      <c r="G178" s="4" t="s">
        <v>108</v>
      </c>
      <c r="H178" s="4" t="s">
        <v>109</v>
      </c>
      <c r="I178" s="4" t="s">
        <v>44</v>
      </c>
      <c r="J178" s="4" t="s">
        <v>45</v>
      </c>
      <c r="K178" s="4" t="s">
        <v>46</v>
      </c>
      <c r="L178" s="4">
        <v>5</v>
      </c>
      <c r="M178" s="4">
        <v>149.99</v>
      </c>
      <c r="N178" s="4" t="s">
        <v>20</v>
      </c>
      <c r="O178" s="4" t="s">
        <v>21</v>
      </c>
      <c r="P178" s="4" t="s">
        <v>27</v>
      </c>
      <c r="Q178" s="5">
        <v>45347</v>
      </c>
      <c r="R178" s="4">
        <v>749.95</v>
      </c>
      <c r="S178" s="12">
        <f t="shared" ca="1" si="6"/>
        <v>46038.591457291666</v>
      </c>
      <c r="T178" s="13">
        <f t="shared" ca="1" si="7"/>
        <v>46038</v>
      </c>
      <c r="U178" s="13">
        <f t="shared" si="8"/>
        <v>45657</v>
      </c>
      <c r="V178">
        <v>0</v>
      </c>
    </row>
    <row r="179" spans="5:22" ht="15.75" customHeight="1" x14ac:dyDescent="0.3">
      <c r="E179" s="4" t="s">
        <v>322</v>
      </c>
      <c r="F179" s="5">
        <v>45657</v>
      </c>
      <c r="G179" s="4" t="s">
        <v>86</v>
      </c>
      <c r="H179" s="4" t="s">
        <v>87</v>
      </c>
      <c r="I179" s="4" t="s">
        <v>61</v>
      </c>
      <c r="J179" s="4" t="s">
        <v>62</v>
      </c>
      <c r="K179" s="4" t="s">
        <v>19</v>
      </c>
      <c r="L179" s="4">
        <v>1</v>
      </c>
      <c r="M179" s="4">
        <v>899.99</v>
      </c>
      <c r="N179" s="4" t="s">
        <v>34</v>
      </c>
      <c r="O179" s="4" t="s">
        <v>40</v>
      </c>
      <c r="P179" s="4" t="s">
        <v>27</v>
      </c>
      <c r="Q179" s="5">
        <v>45050</v>
      </c>
      <c r="R179" s="4">
        <v>899.99</v>
      </c>
      <c r="S179" s="12">
        <f t="shared" ca="1" si="6"/>
        <v>46038.591457291666</v>
      </c>
      <c r="T179" s="13">
        <f t="shared" ca="1" si="7"/>
        <v>46038</v>
      </c>
      <c r="U179" s="13">
        <f t="shared" si="8"/>
        <v>45657</v>
      </c>
      <c r="V179">
        <v>1</v>
      </c>
    </row>
    <row r="180" spans="5:22" ht="15.75" customHeight="1" x14ac:dyDescent="0.3">
      <c r="E180" s="4" t="s">
        <v>323</v>
      </c>
      <c r="F180" s="5">
        <v>45660</v>
      </c>
      <c r="G180" s="4" t="s">
        <v>147</v>
      </c>
      <c r="H180" s="4" t="s">
        <v>148</v>
      </c>
      <c r="I180" s="4" t="s">
        <v>117</v>
      </c>
      <c r="J180" s="4" t="s">
        <v>118</v>
      </c>
      <c r="K180" s="4" t="s">
        <v>19</v>
      </c>
      <c r="L180" s="4">
        <v>2</v>
      </c>
      <c r="M180" s="4">
        <v>89.99</v>
      </c>
      <c r="N180" s="4" t="s">
        <v>26</v>
      </c>
      <c r="O180" s="4" t="s">
        <v>35</v>
      </c>
      <c r="P180" s="4" t="s">
        <v>27</v>
      </c>
      <c r="Q180" s="5">
        <v>44564</v>
      </c>
      <c r="R180" s="4">
        <v>179.98</v>
      </c>
      <c r="S180" s="12">
        <f t="shared" ca="1" si="6"/>
        <v>46038.591457291666</v>
      </c>
      <c r="T180" s="13">
        <f t="shared" ca="1" si="7"/>
        <v>46038</v>
      </c>
      <c r="U180" s="13">
        <f t="shared" si="8"/>
        <v>45688</v>
      </c>
      <c r="V180">
        <v>3</v>
      </c>
    </row>
    <row r="181" spans="5:22" ht="15.75" customHeight="1" x14ac:dyDescent="0.3">
      <c r="E181" s="4" t="s">
        <v>324</v>
      </c>
      <c r="F181" s="5">
        <v>45661</v>
      </c>
      <c r="G181" s="4" t="s">
        <v>325</v>
      </c>
      <c r="H181" s="4" t="s">
        <v>326</v>
      </c>
      <c r="I181" s="4" t="s">
        <v>61</v>
      </c>
      <c r="J181" s="4" t="s">
        <v>62</v>
      </c>
      <c r="K181" s="4" t="s">
        <v>19</v>
      </c>
      <c r="L181" s="4">
        <v>1</v>
      </c>
      <c r="M181" s="4">
        <v>899.99</v>
      </c>
      <c r="N181" s="4" t="s">
        <v>34</v>
      </c>
      <c r="O181" s="4" t="s">
        <v>40</v>
      </c>
      <c r="P181" s="4" t="s">
        <v>36</v>
      </c>
      <c r="Q181" s="5">
        <v>44752</v>
      </c>
      <c r="R181" s="4">
        <v>899.99</v>
      </c>
      <c r="S181" s="12">
        <f t="shared" ca="1" si="6"/>
        <v>46038.591457291666</v>
      </c>
      <c r="T181" s="13">
        <f t="shared" ca="1" si="7"/>
        <v>46038</v>
      </c>
      <c r="U181" s="13">
        <f t="shared" si="8"/>
        <v>45688</v>
      </c>
      <c r="V181">
        <v>2</v>
      </c>
    </row>
    <row r="182" spans="5:22" ht="15.75" customHeight="1" x14ac:dyDescent="0.3">
      <c r="E182" s="4" t="s">
        <v>327</v>
      </c>
      <c r="F182" s="5">
        <v>45663</v>
      </c>
      <c r="G182" s="4" t="s">
        <v>129</v>
      </c>
      <c r="H182" s="4" t="s">
        <v>130</v>
      </c>
      <c r="I182" s="4" t="s">
        <v>52</v>
      </c>
      <c r="J182" s="4" t="s">
        <v>53</v>
      </c>
      <c r="K182" s="4" t="s">
        <v>19</v>
      </c>
      <c r="L182" s="4">
        <v>5</v>
      </c>
      <c r="M182" s="4">
        <v>149.99</v>
      </c>
      <c r="N182" s="4" t="s">
        <v>34</v>
      </c>
      <c r="O182" s="4" t="s">
        <v>63</v>
      </c>
      <c r="P182" s="4" t="s">
        <v>27</v>
      </c>
      <c r="Q182" s="5">
        <v>44824</v>
      </c>
      <c r="R182" s="4">
        <v>749.95</v>
      </c>
      <c r="S182" s="12">
        <f t="shared" ca="1" si="6"/>
        <v>46038.591457291666</v>
      </c>
      <c r="T182" s="13">
        <f t="shared" ca="1" si="7"/>
        <v>46038</v>
      </c>
      <c r="U182" s="13">
        <f t="shared" si="8"/>
        <v>45688</v>
      </c>
      <c r="V182">
        <v>2</v>
      </c>
    </row>
    <row r="183" spans="5:22" ht="15.75" customHeight="1" x14ac:dyDescent="0.3">
      <c r="E183" s="4" t="s">
        <v>328</v>
      </c>
      <c r="F183" s="5">
        <v>45663</v>
      </c>
      <c r="G183" s="4" t="s">
        <v>42</v>
      </c>
      <c r="H183" s="4" t="s">
        <v>43</v>
      </c>
      <c r="I183" s="4" t="s">
        <v>105</v>
      </c>
      <c r="J183" s="4" t="s">
        <v>106</v>
      </c>
      <c r="K183" s="4" t="s">
        <v>46</v>
      </c>
      <c r="L183" s="4">
        <v>3</v>
      </c>
      <c r="M183" s="4">
        <v>299.99</v>
      </c>
      <c r="N183" s="4" t="s">
        <v>20</v>
      </c>
      <c r="O183" s="4" t="s">
        <v>35</v>
      </c>
      <c r="P183" s="4" t="s">
        <v>36</v>
      </c>
      <c r="Q183" s="5">
        <v>44422</v>
      </c>
      <c r="R183" s="4">
        <v>899.97</v>
      </c>
      <c r="S183" s="12">
        <f t="shared" ca="1" si="6"/>
        <v>46038.591457291666</v>
      </c>
      <c r="T183" s="13">
        <f t="shared" ca="1" si="7"/>
        <v>46038</v>
      </c>
      <c r="U183" s="13">
        <f t="shared" si="8"/>
        <v>45688</v>
      </c>
      <c r="V183">
        <v>3</v>
      </c>
    </row>
    <row r="184" spans="5:22" ht="15.75" customHeight="1" x14ac:dyDescent="0.3">
      <c r="E184" s="4" t="s">
        <v>329</v>
      </c>
      <c r="F184" s="5">
        <v>45666</v>
      </c>
      <c r="G184" s="4" t="s">
        <v>65</v>
      </c>
      <c r="H184" s="4" t="s">
        <v>66</v>
      </c>
      <c r="I184" s="4" t="s">
        <v>80</v>
      </c>
      <c r="J184" s="4" t="s">
        <v>81</v>
      </c>
      <c r="K184" s="4" t="s">
        <v>19</v>
      </c>
      <c r="L184" s="4">
        <v>3</v>
      </c>
      <c r="M184" s="4">
        <v>699.99</v>
      </c>
      <c r="N184" s="4" t="s">
        <v>26</v>
      </c>
      <c r="O184" s="4" t="s">
        <v>21</v>
      </c>
      <c r="P184" s="4" t="s">
        <v>27</v>
      </c>
      <c r="Q184" s="5">
        <v>45105</v>
      </c>
      <c r="R184" s="4">
        <v>2099.9699999999998</v>
      </c>
      <c r="S184" s="12">
        <f t="shared" ca="1" si="6"/>
        <v>46038.591457291666</v>
      </c>
      <c r="T184" s="13">
        <f t="shared" ca="1" si="7"/>
        <v>46038</v>
      </c>
      <c r="U184" s="13">
        <f t="shared" si="8"/>
        <v>45688</v>
      </c>
      <c r="V184">
        <v>1</v>
      </c>
    </row>
    <row r="185" spans="5:22" ht="15.75" customHeight="1" x14ac:dyDescent="0.3">
      <c r="E185" s="4" t="s">
        <v>330</v>
      </c>
      <c r="F185" s="5">
        <v>45667</v>
      </c>
      <c r="G185" s="4" t="s">
        <v>108</v>
      </c>
      <c r="H185" s="4" t="s">
        <v>109</v>
      </c>
      <c r="I185" s="4" t="s">
        <v>126</v>
      </c>
      <c r="J185" s="4" t="s">
        <v>127</v>
      </c>
      <c r="K185" s="4" t="s">
        <v>46</v>
      </c>
      <c r="L185" s="4">
        <v>5</v>
      </c>
      <c r="M185" s="4">
        <v>199.99</v>
      </c>
      <c r="N185" s="4" t="s">
        <v>34</v>
      </c>
      <c r="O185" s="4" t="s">
        <v>21</v>
      </c>
      <c r="P185" s="4" t="s">
        <v>36</v>
      </c>
      <c r="Q185" s="5">
        <v>44633</v>
      </c>
      <c r="R185" s="4">
        <v>999.95</v>
      </c>
      <c r="S185" s="12">
        <f t="shared" ca="1" si="6"/>
        <v>46038.591457291666</v>
      </c>
      <c r="T185" s="13">
        <f t="shared" ca="1" si="7"/>
        <v>46038</v>
      </c>
      <c r="U185" s="13">
        <f t="shared" si="8"/>
        <v>45688</v>
      </c>
      <c r="V185">
        <v>2</v>
      </c>
    </row>
    <row r="186" spans="5:22" ht="15.75" customHeight="1" x14ac:dyDescent="0.3">
      <c r="E186" s="4" t="s">
        <v>331</v>
      </c>
      <c r="F186" s="5">
        <v>45667</v>
      </c>
      <c r="G186" s="4" t="s">
        <v>93</v>
      </c>
      <c r="H186" s="4" t="s">
        <v>94</v>
      </c>
      <c r="I186" s="4" t="s">
        <v>17</v>
      </c>
      <c r="J186" s="4" t="s">
        <v>18</v>
      </c>
      <c r="K186" s="4" t="s">
        <v>19</v>
      </c>
      <c r="L186" s="4">
        <v>5</v>
      </c>
      <c r="M186" s="4">
        <v>249.99</v>
      </c>
      <c r="N186" s="4" t="s">
        <v>26</v>
      </c>
      <c r="O186" s="4" t="s">
        <v>35</v>
      </c>
      <c r="P186" s="4" t="s">
        <v>22</v>
      </c>
      <c r="Q186" s="5">
        <v>45330</v>
      </c>
      <c r="R186" s="4">
        <v>1249.95</v>
      </c>
      <c r="S186" s="12">
        <f t="shared" ca="1" si="6"/>
        <v>46038.591457291666</v>
      </c>
      <c r="T186" s="13">
        <f t="shared" ca="1" si="7"/>
        <v>46038</v>
      </c>
      <c r="U186" s="13">
        <f t="shared" si="8"/>
        <v>45688</v>
      </c>
      <c r="V186">
        <v>0</v>
      </c>
    </row>
    <row r="187" spans="5:22" ht="15.75" customHeight="1" x14ac:dyDescent="0.3">
      <c r="E187" s="4" t="s">
        <v>332</v>
      </c>
      <c r="F187" s="5">
        <v>45668</v>
      </c>
      <c r="G187" s="4" t="s">
        <v>138</v>
      </c>
      <c r="H187" s="4" t="s">
        <v>139</v>
      </c>
      <c r="I187" s="4" t="s">
        <v>52</v>
      </c>
      <c r="J187" s="4" t="s">
        <v>53</v>
      </c>
      <c r="K187" s="4" t="s">
        <v>19</v>
      </c>
      <c r="L187" s="4">
        <v>4</v>
      </c>
      <c r="M187" s="4">
        <v>149.99</v>
      </c>
      <c r="N187" s="4" t="s">
        <v>57</v>
      </c>
      <c r="O187" s="4" t="s">
        <v>63</v>
      </c>
      <c r="P187" s="4" t="s">
        <v>36</v>
      </c>
      <c r="Q187" s="5">
        <v>44536</v>
      </c>
      <c r="R187" s="4">
        <v>599.96</v>
      </c>
      <c r="S187" s="12">
        <f t="shared" ca="1" si="6"/>
        <v>46038.591457291666</v>
      </c>
      <c r="T187" s="13">
        <f t="shared" ca="1" si="7"/>
        <v>46038</v>
      </c>
      <c r="U187" s="13">
        <f t="shared" si="8"/>
        <v>45688</v>
      </c>
      <c r="V187">
        <v>3</v>
      </c>
    </row>
    <row r="188" spans="5:22" ht="15.75" customHeight="1" x14ac:dyDescent="0.3">
      <c r="E188" s="4" t="s">
        <v>333</v>
      </c>
      <c r="F188" s="5">
        <v>45668</v>
      </c>
      <c r="G188" s="4" t="s">
        <v>78</v>
      </c>
      <c r="H188" s="4" t="s">
        <v>79</v>
      </c>
      <c r="I188" s="4" t="s">
        <v>80</v>
      </c>
      <c r="J188" s="4" t="s">
        <v>81</v>
      </c>
      <c r="K188" s="4" t="s">
        <v>19</v>
      </c>
      <c r="L188" s="4">
        <v>3</v>
      </c>
      <c r="M188" s="4">
        <v>699.99</v>
      </c>
      <c r="N188" s="4" t="s">
        <v>20</v>
      </c>
      <c r="O188" s="4" t="s">
        <v>40</v>
      </c>
      <c r="P188" s="4" t="s">
        <v>27</v>
      </c>
      <c r="Q188" s="5">
        <v>44602</v>
      </c>
      <c r="R188" s="4">
        <v>2099.9699999999998</v>
      </c>
      <c r="S188" s="12">
        <f t="shared" ca="1" si="6"/>
        <v>46038.591457291666</v>
      </c>
      <c r="T188" s="13">
        <f t="shared" ca="1" si="7"/>
        <v>46038</v>
      </c>
      <c r="U188" s="13">
        <f t="shared" si="8"/>
        <v>45688</v>
      </c>
      <c r="V188">
        <v>2</v>
      </c>
    </row>
    <row r="189" spans="5:22" ht="15.75" customHeight="1" x14ac:dyDescent="0.3">
      <c r="E189" s="4" t="s">
        <v>334</v>
      </c>
      <c r="F189" s="5">
        <v>45670</v>
      </c>
      <c r="G189" s="4" t="s">
        <v>293</v>
      </c>
      <c r="H189" s="4" t="s">
        <v>294</v>
      </c>
      <c r="I189" s="4" t="s">
        <v>114</v>
      </c>
      <c r="J189" s="4" t="s">
        <v>115</v>
      </c>
      <c r="K189" s="4" t="s">
        <v>33</v>
      </c>
      <c r="L189" s="4">
        <v>1</v>
      </c>
      <c r="M189" s="4">
        <v>79.989999999999995</v>
      </c>
      <c r="N189" s="4" t="s">
        <v>26</v>
      </c>
      <c r="O189" s="4" t="s">
        <v>35</v>
      </c>
      <c r="P189" s="4" t="s">
        <v>22</v>
      </c>
      <c r="Q189" s="5">
        <v>45322</v>
      </c>
      <c r="R189" s="4">
        <v>79.989999999999995</v>
      </c>
      <c r="S189" s="12">
        <f t="shared" ca="1" si="6"/>
        <v>46038.591457291666</v>
      </c>
      <c r="T189" s="13">
        <f t="shared" ca="1" si="7"/>
        <v>46038</v>
      </c>
      <c r="U189" s="13">
        <f t="shared" si="8"/>
        <v>45688</v>
      </c>
      <c r="V189">
        <v>0</v>
      </c>
    </row>
    <row r="190" spans="5:22" ht="15.75" customHeight="1" x14ac:dyDescent="0.3">
      <c r="E190" s="4" t="s">
        <v>335</v>
      </c>
      <c r="F190" s="5">
        <v>45670</v>
      </c>
      <c r="G190" s="4" t="s">
        <v>86</v>
      </c>
      <c r="H190" s="4" t="s">
        <v>87</v>
      </c>
      <c r="I190" s="4" t="s">
        <v>105</v>
      </c>
      <c r="J190" s="4" t="s">
        <v>106</v>
      </c>
      <c r="K190" s="4" t="s">
        <v>46</v>
      </c>
      <c r="L190" s="4">
        <v>1</v>
      </c>
      <c r="M190" s="4">
        <v>299.99</v>
      </c>
      <c r="N190" s="4" t="s">
        <v>26</v>
      </c>
      <c r="O190" s="4" t="s">
        <v>40</v>
      </c>
      <c r="P190" s="4" t="s">
        <v>22</v>
      </c>
      <c r="Q190" s="5">
        <v>44436</v>
      </c>
      <c r="R190" s="4">
        <v>299.99</v>
      </c>
      <c r="S190" s="12">
        <f t="shared" ca="1" si="6"/>
        <v>46038.591457291666</v>
      </c>
      <c r="T190" s="13">
        <f t="shared" ca="1" si="7"/>
        <v>46038</v>
      </c>
      <c r="U190" s="13">
        <f t="shared" si="8"/>
        <v>45688</v>
      </c>
      <c r="V190">
        <v>3</v>
      </c>
    </row>
    <row r="191" spans="5:22" ht="15.75" customHeight="1" x14ac:dyDescent="0.3">
      <c r="E191" s="4" t="s">
        <v>336</v>
      </c>
      <c r="F191" s="5">
        <v>45671</v>
      </c>
      <c r="G191" s="4" t="s">
        <v>158</v>
      </c>
      <c r="H191" s="4" t="s">
        <v>159</v>
      </c>
      <c r="I191" s="4" t="s">
        <v>17</v>
      </c>
      <c r="J191" s="4" t="s">
        <v>18</v>
      </c>
      <c r="K191" s="4" t="s">
        <v>19</v>
      </c>
      <c r="L191" s="4">
        <v>4</v>
      </c>
      <c r="M191" s="4">
        <v>249.99</v>
      </c>
      <c r="N191" s="4" t="s">
        <v>26</v>
      </c>
      <c r="O191" s="4" t="s">
        <v>40</v>
      </c>
      <c r="P191" s="4" t="s">
        <v>27</v>
      </c>
      <c r="Q191" s="5">
        <v>44460</v>
      </c>
      <c r="R191" s="4">
        <v>999.96</v>
      </c>
      <c r="S191" s="12">
        <f t="shared" ca="1" si="6"/>
        <v>46038.591457291666</v>
      </c>
      <c r="T191" s="13">
        <f t="shared" ca="1" si="7"/>
        <v>46038</v>
      </c>
      <c r="U191" s="13">
        <f t="shared" si="8"/>
        <v>45688</v>
      </c>
      <c r="V191">
        <v>3</v>
      </c>
    </row>
    <row r="192" spans="5:22" ht="15.75" customHeight="1" x14ac:dyDescent="0.3">
      <c r="E192" s="4" t="s">
        <v>337</v>
      </c>
      <c r="F192" s="5">
        <v>45671</v>
      </c>
      <c r="G192" s="4" t="s">
        <v>120</v>
      </c>
      <c r="H192" s="4" t="s">
        <v>121</v>
      </c>
      <c r="I192" s="4" t="s">
        <v>52</v>
      </c>
      <c r="J192" s="4" t="s">
        <v>53</v>
      </c>
      <c r="K192" s="4" t="s">
        <v>19</v>
      </c>
      <c r="L192" s="4">
        <v>2</v>
      </c>
      <c r="M192" s="4">
        <v>149.99</v>
      </c>
      <c r="N192" s="4" t="s">
        <v>20</v>
      </c>
      <c r="O192" s="4" t="s">
        <v>40</v>
      </c>
      <c r="P192" s="4" t="s">
        <v>36</v>
      </c>
      <c r="Q192" s="5">
        <v>44913</v>
      </c>
      <c r="R192" s="4">
        <v>299.98</v>
      </c>
      <c r="S192" s="12">
        <f t="shared" ca="1" si="6"/>
        <v>46038.591457291666</v>
      </c>
      <c r="T192" s="13">
        <f t="shared" ca="1" si="7"/>
        <v>46038</v>
      </c>
      <c r="U192" s="13">
        <f t="shared" si="8"/>
        <v>45688</v>
      </c>
      <c r="V192">
        <v>2</v>
      </c>
    </row>
    <row r="193" spans="5:22" ht="15.75" customHeight="1" x14ac:dyDescent="0.3">
      <c r="E193" s="4" t="s">
        <v>338</v>
      </c>
      <c r="F193" s="5">
        <v>45671</v>
      </c>
      <c r="G193" s="4" t="s">
        <v>234</v>
      </c>
      <c r="H193" s="4" t="s">
        <v>235</v>
      </c>
      <c r="I193" s="4" t="s">
        <v>105</v>
      </c>
      <c r="J193" s="4" t="s">
        <v>106</v>
      </c>
      <c r="K193" s="4" t="s">
        <v>46</v>
      </c>
      <c r="L193" s="4">
        <v>3</v>
      </c>
      <c r="M193" s="4">
        <v>299.99</v>
      </c>
      <c r="N193" s="4" t="s">
        <v>26</v>
      </c>
      <c r="O193" s="4" t="s">
        <v>35</v>
      </c>
      <c r="P193" s="4" t="s">
        <v>22</v>
      </c>
      <c r="Q193" s="5">
        <v>45204</v>
      </c>
      <c r="R193" s="4">
        <v>899.97</v>
      </c>
      <c r="S193" s="12">
        <f t="shared" ca="1" si="6"/>
        <v>46038.591457291666</v>
      </c>
      <c r="T193" s="13">
        <f t="shared" ca="1" si="7"/>
        <v>46038</v>
      </c>
      <c r="U193" s="13">
        <f t="shared" si="8"/>
        <v>45688</v>
      </c>
      <c r="V193">
        <v>1</v>
      </c>
    </row>
    <row r="194" spans="5:22" ht="15.75" customHeight="1" x14ac:dyDescent="0.3">
      <c r="E194" s="4" t="s">
        <v>339</v>
      </c>
      <c r="F194" s="5">
        <v>45673</v>
      </c>
      <c r="G194" s="4" t="s">
        <v>226</v>
      </c>
      <c r="H194" s="4" t="s">
        <v>227</v>
      </c>
      <c r="I194" s="4" t="s">
        <v>126</v>
      </c>
      <c r="J194" s="4" t="s">
        <v>127</v>
      </c>
      <c r="K194" s="4" t="s">
        <v>46</v>
      </c>
      <c r="L194" s="4">
        <v>4</v>
      </c>
      <c r="M194" s="4">
        <v>199.99</v>
      </c>
      <c r="N194" s="4" t="s">
        <v>57</v>
      </c>
      <c r="O194" s="4" t="s">
        <v>35</v>
      </c>
      <c r="P194" s="4" t="s">
        <v>36</v>
      </c>
      <c r="Q194" s="5">
        <v>44544</v>
      </c>
      <c r="R194" s="4">
        <v>799.96</v>
      </c>
      <c r="S194" s="12">
        <f t="shared" ca="1" si="6"/>
        <v>46038.591457291666</v>
      </c>
      <c r="T194" s="13">
        <f t="shared" ca="1" si="7"/>
        <v>46038</v>
      </c>
      <c r="U194" s="13">
        <f t="shared" si="8"/>
        <v>45688</v>
      </c>
      <c r="V194">
        <v>3</v>
      </c>
    </row>
    <row r="195" spans="5:22" ht="15.75" customHeight="1" x14ac:dyDescent="0.3">
      <c r="E195" s="4" t="s">
        <v>340</v>
      </c>
      <c r="F195" s="5">
        <v>45673</v>
      </c>
      <c r="G195" s="4" t="s">
        <v>211</v>
      </c>
      <c r="H195" s="4" t="s">
        <v>212</v>
      </c>
      <c r="I195" s="4" t="s">
        <v>105</v>
      </c>
      <c r="J195" s="4" t="s">
        <v>106</v>
      </c>
      <c r="K195" s="4" t="s">
        <v>46</v>
      </c>
      <c r="L195" s="4">
        <v>5</v>
      </c>
      <c r="M195" s="4">
        <v>299.99</v>
      </c>
      <c r="N195" s="4" t="s">
        <v>57</v>
      </c>
      <c r="O195" s="4" t="s">
        <v>21</v>
      </c>
      <c r="P195" s="4" t="s">
        <v>22</v>
      </c>
      <c r="Q195" s="5">
        <v>44431</v>
      </c>
      <c r="R195" s="4">
        <v>1499.95</v>
      </c>
      <c r="S195" s="12">
        <f t="shared" ref="S195:S251" ca="1" si="9">NOW()</f>
        <v>46038.591457291666</v>
      </c>
      <c r="T195" s="13">
        <f t="shared" ref="T195:T251" ca="1" si="10">TODAY()</f>
        <v>46038</v>
      </c>
      <c r="U195" s="13">
        <f t="shared" ref="U195:U251" si="11">EOMONTH(F195,0)</f>
        <v>45688</v>
      </c>
      <c r="V195">
        <v>3</v>
      </c>
    </row>
    <row r="196" spans="5:22" ht="15.75" customHeight="1" x14ac:dyDescent="0.3">
      <c r="E196" s="4" t="s">
        <v>341</v>
      </c>
      <c r="F196" s="5">
        <v>45673</v>
      </c>
      <c r="G196" s="4" t="s">
        <v>59</v>
      </c>
      <c r="H196" s="4" t="s">
        <v>60</v>
      </c>
      <c r="I196" s="4" t="s">
        <v>44</v>
      </c>
      <c r="J196" s="4" t="s">
        <v>45</v>
      </c>
      <c r="K196" s="4" t="s">
        <v>46</v>
      </c>
      <c r="L196" s="4">
        <v>3</v>
      </c>
      <c r="M196" s="4">
        <v>149.99</v>
      </c>
      <c r="N196" s="4" t="s">
        <v>26</v>
      </c>
      <c r="O196" s="4" t="s">
        <v>63</v>
      </c>
      <c r="P196" s="4" t="s">
        <v>36</v>
      </c>
      <c r="Q196" s="5">
        <v>44395</v>
      </c>
      <c r="R196" s="4">
        <v>449.97</v>
      </c>
      <c r="S196" s="12">
        <f t="shared" ca="1" si="9"/>
        <v>46038.591457291666</v>
      </c>
      <c r="T196" s="13">
        <f t="shared" ca="1" si="10"/>
        <v>46038</v>
      </c>
      <c r="U196" s="13">
        <f t="shared" si="11"/>
        <v>45688</v>
      </c>
      <c r="V196">
        <v>3</v>
      </c>
    </row>
    <row r="197" spans="5:22" ht="15.75" customHeight="1" x14ac:dyDescent="0.3">
      <c r="E197" s="4" t="s">
        <v>342</v>
      </c>
      <c r="F197" s="5">
        <v>45676</v>
      </c>
      <c r="G197" s="4" t="s">
        <v>129</v>
      </c>
      <c r="H197" s="4" t="s">
        <v>130</v>
      </c>
      <c r="I197" s="4" t="s">
        <v>31</v>
      </c>
      <c r="J197" s="4" t="s">
        <v>32</v>
      </c>
      <c r="K197" s="4" t="s">
        <v>33</v>
      </c>
      <c r="L197" s="4">
        <v>5</v>
      </c>
      <c r="M197" s="4">
        <v>59.99</v>
      </c>
      <c r="N197" s="4" t="s">
        <v>57</v>
      </c>
      <c r="O197" s="4" t="s">
        <v>63</v>
      </c>
      <c r="P197" s="4" t="s">
        <v>22</v>
      </c>
      <c r="Q197" s="5">
        <v>44642</v>
      </c>
      <c r="R197" s="4">
        <v>299.95</v>
      </c>
      <c r="S197" s="12">
        <f t="shared" ca="1" si="9"/>
        <v>46038.591457291666</v>
      </c>
      <c r="T197" s="13">
        <f t="shared" ca="1" si="10"/>
        <v>46038</v>
      </c>
      <c r="U197" s="13">
        <f t="shared" si="11"/>
        <v>45688</v>
      </c>
      <c r="V197">
        <v>2</v>
      </c>
    </row>
    <row r="198" spans="5:22" ht="15.75" customHeight="1" x14ac:dyDescent="0.3">
      <c r="E198" s="4" t="s">
        <v>343</v>
      </c>
      <c r="F198" s="5">
        <v>45682</v>
      </c>
      <c r="G198" s="4" t="s">
        <v>68</v>
      </c>
      <c r="H198" s="4" t="s">
        <v>69</v>
      </c>
      <c r="I198" s="4" t="s">
        <v>31</v>
      </c>
      <c r="J198" s="4" t="s">
        <v>32</v>
      </c>
      <c r="K198" s="4" t="s">
        <v>33</v>
      </c>
      <c r="L198" s="4">
        <v>4</v>
      </c>
      <c r="M198" s="4">
        <v>59.99</v>
      </c>
      <c r="N198" s="4" t="s">
        <v>57</v>
      </c>
      <c r="O198" s="4" t="s">
        <v>63</v>
      </c>
      <c r="P198" s="4" t="s">
        <v>36</v>
      </c>
      <c r="Q198" s="5">
        <v>44564</v>
      </c>
      <c r="R198" s="4">
        <v>239.96</v>
      </c>
      <c r="S198" s="12">
        <f t="shared" ca="1" si="9"/>
        <v>46038.591457291666</v>
      </c>
      <c r="T198" s="13">
        <f t="shared" ca="1" si="10"/>
        <v>46038</v>
      </c>
      <c r="U198" s="13">
        <f t="shared" si="11"/>
        <v>45688</v>
      </c>
      <c r="V198">
        <v>3</v>
      </c>
    </row>
    <row r="199" spans="5:22" ht="15.75" customHeight="1" x14ac:dyDescent="0.3">
      <c r="E199" s="4" t="s">
        <v>344</v>
      </c>
      <c r="F199" s="5">
        <v>45683</v>
      </c>
      <c r="G199" s="4" t="s">
        <v>48</v>
      </c>
      <c r="H199" s="4" t="s">
        <v>49</v>
      </c>
      <c r="I199" s="4" t="s">
        <v>17</v>
      </c>
      <c r="J199" s="4" t="s">
        <v>18</v>
      </c>
      <c r="K199" s="4" t="s">
        <v>19</v>
      </c>
      <c r="L199" s="4">
        <v>4</v>
      </c>
      <c r="M199" s="4">
        <v>249.99</v>
      </c>
      <c r="N199" s="4" t="s">
        <v>57</v>
      </c>
      <c r="O199" s="4" t="s">
        <v>21</v>
      </c>
      <c r="P199" s="4" t="s">
        <v>27</v>
      </c>
      <c r="Q199" s="5">
        <v>45217</v>
      </c>
      <c r="R199" s="4">
        <v>999.96</v>
      </c>
      <c r="S199" s="12">
        <f t="shared" ca="1" si="9"/>
        <v>46038.591457291666</v>
      </c>
      <c r="T199" s="13">
        <f t="shared" ca="1" si="10"/>
        <v>46038</v>
      </c>
      <c r="U199" s="13">
        <f t="shared" si="11"/>
        <v>45688</v>
      </c>
      <c r="V199">
        <v>1</v>
      </c>
    </row>
    <row r="200" spans="5:22" ht="15.75" customHeight="1" x14ac:dyDescent="0.3">
      <c r="E200" s="4" t="s">
        <v>345</v>
      </c>
      <c r="F200" s="5">
        <v>45686</v>
      </c>
      <c r="G200" s="4" t="s">
        <v>252</v>
      </c>
      <c r="H200" s="4" t="s">
        <v>253</v>
      </c>
      <c r="I200" s="4" t="s">
        <v>61</v>
      </c>
      <c r="J200" s="4" t="s">
        <v>62</v>
      </c>
      <c r="K200" s="4" t="s">
        <v>19</v>
      </c>
      <c r="L200" s="4">
        <v>4</v>
      </c>
      <c r="M200" s="4">
        <v>899.99</v>
      </c>
      <c r="N200" s="4" t="s">
        <v>34</v>
      </c>
      <c r="O200" s="4" t="s">
        <v>21</v>
      </c>
      <c r="P200" s="4" t="s">
        <v>22</v>
      </c>
      <c r="Q200" s="5">
        <v>44734</v>
      </c>
      <c r="R200" s="4">
        <v>3599.96</v>
      </c>
      <c r="S200" s="12">
        <f t="shared" ca="1" si="9"/>
        <v>46038.591457291666</v>
      </c>
      <c r="T200" s="13">
        <f t="shared" ca="1" si="10"/>
        <v>46038</v>
      </c>
      <c r="U200" s="13">
        <f t="shared" si="11"/>
        <v>45688</v>
      </c>
      <c r="V200">
        <v>2</v>
      </c>
    </row>
    <row r="201" spans="5:22" ht="15.75" customHeight="1" x14ac:dyDescent="0.3">
      <c r="E201" s="4" t="s">
        <v>346</v>
      </c>
      <c r="F201" s="5">
        <v>45686</v>
      </c>
      <c r="G201" s="4" t="s">
        <v>86</v>
      </c>
      <c r="H201" s="4" t="s">
        <v>87</v>
      </c>
      <c r="I201" s="4" t="s">
        <v>105</v>
      </c>
      <c r="J201" s="4" t="s">
        <v>106</v>
      </c>
      <c r="K201" s="4" t="s">
        <v>46</v>
      </c>
      <c r="L201" s="4">
        <v>3</v>
      </c>
      <c r="M201" s="4">
        <v>299.99</v>
      </c>
      <c r="N201" s="4" t="s">
        <v>57</v>
      </c>
      <c r="O201" s="4" t="s">
        <v>50</v>
      </c>
      <c r="P201" s="4" t="s">
        <v>36</v>
      </c>
      <c r="Q201" s="5">
        <v>44952</v>
      </c>
      <c r="R201" s="4">
        <v>899.97</v>
      </c>
      <c r="S201" s="12">
        <f t="shared" ca="1" si="9"/>
        <v>46038.591457291666</v>
      </c>
      <c r="T201" s="13">
        <f t="shared" ca="1" si="10"/>
        <v>46038</v>
      </c>
      <c r="U201" s="13">
        <f t="shared" si="11"/>
        <v>45688</v>
      </c>
      <c r="V201">
        <v>2</v>
      </c>
    </row>
    <row r="202" spans="5:22" ht="15.75" customHeight="1" x14ac:dyDescent="0.3">
      <c r="E202" s="4" t="s">
        <v>347</v>
      </c>
      <c r="F202" s="5">
        <v>45686</v>
      </c>
      <c r="G202" s="4" t="s">
        <v>293</v>
      </c>
      <c r="H202" s="4" t="s">
        <v>294</v>
      </c>
      <c r="I202" s="4" t="s">
        <v>80</v>
      </c>
      <c r="J202" s="4" t="s">
        <v>81</v>
      </c>
      <c r="K202" s="4" t="s">
        <v>19</v>
      </c>
      <c r="L202" s="4">
        <v>2</v>
      </c>
      <c r="M202" s="4">
        <v>699.99</v>
      </c>
      <c r="N202" s="4" t="s">
        <v>57</v>
      </c>
      <c r="O202" s="4" t="s">
        <v>21</v>
      </c>
      <c r="P202" s="4" t="s">
        <v>27</v>
      </c>
      <c r="Q202" s="5">
        <v>44681</v>
      </c>
      <c r="R202" s="4">
        <v>1399.98</v>
      </c>
      <c r="S202" s="12">
        <f t="shared" ca="1" si="9"/>
        <v>46038.591457291666</v>
      </c>
      <c r="T202" s="13">
        <f t="shared" ca="1" si="10"/>
        <v>46038</v>
      </c>
      <c r="U202" s="13">
        <f t="shared" si="11"/>
        <v>45688</v>
      </c>
      <c r="V202">
        <v>2</v>
      </c>
    </row>
    <row r="203" spans="5:22" ht="15.75" customHeight="1" x14ac:dyDescent="0.3">
      <c r="E203" s="4" t="s">
        <v>348</v>
      </c>
      <c r="F203" s="5">
        <v>45688</v>
      </c>
      <c r="G203" s="4" t="s">
        <v>65</v>
      </c>
      <c r="H203" s="4" t="s">
        <v>66</v>
      </c>
      <c r="I203" s="4" t="s">
        <v>80</v>
      </c>
      <c r="J203" s="4" t="s">
        <v>81</v>
      </c>
      <c r="K203" s="4" t="s">
        <v>19</v>
      </c>
      <c r="L203" s="4">
        <v>4</v>
      </c>
      <c r="M203" s="4">
        <v>699.99</v>
      </c>
      <c r="N203" s="4" t="s">
        <v>57</v>
      </c>
      <c r="O203" s="4" t="s">
        <v>50</v>
      </c>
      <c r="P203" s="4" t="s">
        <v>27</v>
      </c>
      <c r="Q203" s="5">
        <v>44692</v>
      </c>
      <c r="R203" s="4">
        <v>2799.96</v>
      </c>
      <c r="S203" s="12">
        <f t="shared" ca="1" si="9"/>
        <v>46038.591457291666</v>
      </c>
      <c r="T203" s="13">
        <f t="shared" ca="1" si="10"/>
        <v>46038</v>
      </c>
      <c r="U203" s="13">
        <f t="shared" si="11"/>
        <v>45688</v>
      </c>
      <c r="V203">
        <v>2</v>
      </c>
    </row>
    <row r="204" spans="5:22" ht="15.75" customHeight="1" x14ac:dyDescent="0.3">
      <c r="E204" s="4" t="s">
        <v>349</v>
      </c>
      <c r="F204" s="5">
        <v>45688</v>
      </c>
      <c r="G204" s="4" t="s">
        <v>123</v>
      </c>
      <c r="H204" s="4" t="s">
        <v>124</v>
      </c>
      <c r="I204" s="4" t="s">
        <v>117</v>
      </c>
      <c r="J204" s="4" t="s">
        <v>118</v>
      </c>
      <c r="K204" s="4" t="s">
        <v>19</v>
      </c>
      <c r="L204" s="4">
        <v>2</v>
      </c>
      <c r="M204" s="4">
        <v>89.99</v>
      </c>
      <c r="N204" s="4" t="s">
        <v>57</v>
      </c>
      <c r="O204" s="4" t="s">
        <v>35</v>
      </c>
      <c r="P204" s="4" t="s">
        <v>22</v>
      </c>
      <c r="Q204" s="5">
        <v>44777</v>
      </c>
      <c r="R204" s="4">
        <v>179.98</v>
      </c>
      <c r="S204" s="12">
        <f t="shared" ca="1" si="9"/>
        <v>46038.591457291666</v>
      </c>
      <c r="T204" s="13">
        <f t="shared" ca="1" si="10"/>
        <v>46038</v>
      </c>
      <c r="U204" s="13">
        <f t="shared" si="11"/>
        <v>45688</v>
      </c>
      <c r="V204">
        <v>2</v>
      </c>
    </row>
    <row r="205" spans="5:22" ht="15.75" customHeight="1" x14ac:dyDescent="0.3">
      <c r="E205" s="4" t="s">
        <v>350</v>
      </c>
      <c r="F205" s="5">
        <v>45688</v>
      </c>
      <c r="G205" s="4" t="s">
        <v>42</v>
      </c>
      <c r="H205" s="4" t="s">
        <v>43</v>
      </c>
      <c r="I205" s="4" t="s">
        <v>117</v>
      </c>
      <c r="J205" s="4" t="s">
        <v>118</v>
      </c>
      <c r="K205" s="4" t="s">
        <v>19</v>
      </c>
      <c r="L205" s="4">
        <v>3</v>
      </c>
      <c r="M205" s="4">
        <v>89.99</v>
      </c>
      <c r="N205" s="4" t="s">
        <v>57</v>
      </c>
      <c r="O205" s="4" t="s">
        <v>35</v>
      </c>
      <c r="P205" s="4" t="s">
        <v>27</v>
      </c>
      <c r="Q205" s="5">
        <v>45307</v>
      </c>
      <c r="R205" s="4">
        <v>269.97000000000003</v>
      </c>
      <c r="S205" s="12">
        <f t="shared" ca="1" si="9"/>
        <v>46038.591457291666</v>
      </c>
      <c r="T205" s="13">
        <f t="shared" ca="1" si="10"/>
        <v>46038</v>
      </c>
      <c r="U205" s="13">
        <f t="shared" si="11"/>
        <v>45688</v>
      </c>
      <c r="V205">
        <v>1</v>
      </c>
    </row>
    <row r="206" spans="5:22" ht="15.75" customHeight="1" x14ac:dyDescent="0.3">
      <c r="E206" s="4" t="s">
        <v>351</v>
      </c>
      <c r="F206" s="5">
        <v>45692</v>
      </c>
      <c r="G206" s="4" t="s">
        <v>325</v>
      </c>
      <c r="H206" s="4" t="s">
        <v>326</v>
      </c>
      <c r="I206" s="4" t="s">
        <v>31</v>
      </c>
      <c r="J206" s="4" t="s">
        <v>32</v>
      </c>
      <c r="K206" s="4" t="s">
        <v>33</v>
      </c>
      <c r="L206" s="4">
        <v>1</v>
      </c>
      <c r="M206" s="4">
        <v>59.99</v>
      </c>
      <c r="N206" s="4" t="s">
        <v>57</v>
      </c>
      <c r="O206" s="4" t="s">
        <v>21</v>
      </c>
      <c r="P206" s="4" t="s">
        <v>36</v>
      </c>
      <c r="Q206" s="5">
        <v>45045</v>
      </c>
      <c r="R206" s="4">
        <v>59.99</v>
      </c>
      <c r="S206" s="12">
        <f t="shared" ca="1" si="9"/>
        <v>46038.591457291666</v>
      </c>
      <c r="T206" s="13">
        <f t="shared" ca="1" si="10"/>
        <v>46038</v>
      </c>
      <c r="U206" s="13">
        <f t="shared" si="11"/>
        <v>45716</v>
      </c>
      <c r="V206">
        <v>1</v>
      </c>
    </row>
    <row r="207" spans="5:22" ht="15.75" customHeight="1" x14ac:dyDescent="0.3">
      <c r="E207" s="4" t="s">
        <v>352</v>
      </c>
      <c r="F207" s="5">
        <v>45695</v>
      </c>
      <c r="G207" s="4" t="s">
        <v>246</v>
      </c>
      <c r="H207" s="4" t="s">
        <v>247</v>
      </c>
      <c r="I207" s="4" t="s">
        <v>44</v>
      </c>
      <c r="J207" s="4" t="s">
        <v>45</v>
      </c>
      <c r="K207" s="4" t="s">
        <v>46</v>
      </c>
      <c r="L207" s="4">
        <v>3</v>
      </c>
      <c r="M207" s="4">
        <v>149.99</v>
      </c>
      <c r="N207" s="4" t="s">
        <v>57</v>
      </c>
      <c r="O207" s="4" t="s">
        <v>40</v>
      </c>
      <c r="P207" s="4" t="s">
        <v>27</v>
      </c>
      <c r="Q207" s="5">
        <v>44564</v>
      </c>
      <c r="R207" s="4">
        <v>449.97</v>
      </c>
      <c r="S207" s="12">
        <f t="shared" ca="1" si="9"/>
        <v>46038.591457291666</v>
      </c>
      <c r="T207" s="13">
        <f t="shared" ca="1" si="10"/>
        <v>46038</v>
      </c>
      <c r="U207" s="13">
        <f t="shared" si="11"/>
        <v>45716</v>
      </c>
      <c r="V207">
        <v>3</v>
      </c>
    </row>
    <row r="208" spans="5:22" ht="15.75" customHeight="1" x14ac:dyDescent="0.3">
      <c r="E208" s="4" t="s">
        <v>353</v>
      </c>
      <c r="F208" s="5">
        <v>45695</v>
      </c>
      <c r="G208" s="4" t="s">
        <v>93</v>
      </c>
      <c r="H208" s="4" t="s">
        <v>94</v>
      </c>
      <c r="I208" s="4" t="s">
        <v>105</v>
      </c>
      <c r="J208" s="4" t="s">
        <v>106</v>
      </c>
      <c r="K208" s="4" t="s">
        <v>46</v>
      </c>
      <c r="L208" s="4">
        <v>5</v>
      </c>
      <c r="M208" s="4">
        <v>299.99</v>
      </c>
      <c r="N208" s="4" t="s">
        <v>26</v>
      </c>
      <c r="O208" s="4" t="s">
        <v>35</v>
      </c>
      <c r="P208" s="4" t="s">
        <v>22</v>
      </c>
      <c r="Q208" s="5">
        <v>44959</v>
      </c>
      <c r="R208" s="4">
        <v>1499.95</v>
      </c>
      <c r="S208" s="12">
        <f t="shared" ca="1" si="9"/>
        <v>46038.591457291666</v>
      </c>
      <c r="T208" s="13">
        <f t="shared" ca="1" si="10"/>
        <v>46038</v>
      </c>
      <c r="U208" s="13">
        <f t="shared" si="11"/>
        <v>45716</v>
      </c>
      <c r="V208">
        <v>2</v>
      </c>
    </row>
    <row r="209" spans="5:22" ht="15.75" customHeight="1" x14ac:dyDescent="0.3">
      <c r="E209" s="4" t="s">
        <v>354</v>
      </c>
      <c r="F209" s="5">
        <v>45696</v>
      </c>
      <c r="G209" s="4" t="s">
        <v>150</v>
      </c>
      <c r="H209" s="4" t="s">
        <v>151</v>
      </c>
      <c r="I209" s="4" t="s">
        <v>31</v>
      </c>
      <c r="J209" s="4" t="s">
        <v>32</v>
      </c>
      <c r="K209" s="4" t="s">
        <v>33</v>
      </c>
      <c r="L209" s="4">
        <v>5</v>
      </c>
      <c r="M209" s="4">
        <v>59.99</v>
      </c>
      <c r="N209" s="4" t="s">
        <v>57</v>
      </c>
      <c r="O209" s="4" t="s">
        <v>21</v>
      </c>
      <c r="P209" s="4" t="s">
        <v>36</v>
      </c>
      <c r="Q209" s="5">
        <v>45177</v>
      </c>
      <c r="R209" s="4">
        <v>299.95</v>
      </c>
      <c r="S209" s="12">
        <f t="shared" ca="1" si="9"/>
        <v>46038.591457291666</v>
      </c>
      <c r="T209" s="13">
        <f t="shared" ca="1" si="10"/>
        <v>46038</v>
      </c>
      <c r="U209" s="13">
        <f t="shared" si="11"/>
        <v>45716</v>
      </c>
      <c r="V209">
        <v>1</v>
      </c>
    </row>
    <row r="210" spans="5:22" ht="15.75" customHeight="1" x14ac:dyDescent="0.3">
      <c r="E210" s="4" t="s">
        <v>355</v>
      </c>
      <c r="F210" s="5">
        <v>45701</v>
      </c>
      <c r="G210" s="4" t="s">
        <v>108</v>
      </c>
      <c r="H210" s="4" t="s">
        <v>109</v>
      </c>
      <c r="I210" s="4" t="s">
        <v>114</v>
      </c>
      <c r="J210" s="4" t="s">
        <v>115</v>
      </c>
      <c r="K210" s="4" t="s">
        <v>33</v>
      </c>
      <c r="L210" s="4">
        <v>3</v>
      </c>
      <c r="M210" s="4">
        <v>79.989999999999995</v>
      </c>
      <c r="N210" s="4" t="s">
        <v>20</v>
      </c>
      <c r="O210" s="4" t="s">
        <v>63</v>
      </c>
      <c r="P210" s="4" t="s">
        <v>27</v>
      </c>
      <c r="Q210" s="5">
        <v>44436</v>
      </c>
      <c r="R210" s="4">
        <v>239.97</v>
      </c>
      <c r="S210" s="12">
        <f t="shared" ca="1" si="9"/>
        <v>46038.591457291666</v>
      </c>
      <c r="T210" s="13">
        <f t="shared" ca="1" si="10"/>
        <v>46038</v>
      </c>
      <c r="U210" s="13">
        <f t="shared" si="11"/>
        <v>45716</v>
      </c>
      <c r="V210">
        <v>3</v>
      </c>
    </row>
    <row r="211" spans="5:22" ht="15.75" customHeight="1" x14ac:dyDescent="0.3">
      <c r="E211" s="4" t="s">
        <v>356</v>
      </c>
      <c r="F211" s="5">
        <v>45704</v>
      </c>
      <c r="G211" s="4" t="s">
        <v>29</v>
      </c>
      <c r="H211" s="4" t="s">
        <v>30</v>
      </c>
      <c r="I211" s="4" t="s">
        <v>126</v>
      </c>
      <c r="J211" s="4" t="s">
        <v>127</v>
      </c>
      <c r="K211" s="4" t="s">
        <v>46</v>
      </c>
      <c r="L211" s="4">
        <v>3</v>
      </c>
      <c r="M211" s="4">
        <v>199.99</v>
      </c>
      <c r="N211" s="4" t="s">
        <v>20</v>
      </c>
      <c r="O211" s="4" t="s">
        <v>21</v>
      </c>
      <c r="P211" s="4" t="s">
        <v>22</v>
      </c>
      <c r="Q211" s="5">
        <v>44735</v>
      </c>
      <c r="R211" s="4">
        <v>599.97</v>
      </c>
      <c r="S211" s="12">
        <f t="shared" ca="1" si="9"/>
        <v>46038.591457291666</v>
      </c>
      <c r="T211" s="13">
        <f t="shared" ca="1" si="10"/>
        <v>46038</v>
      </c>
      <c r="U211" s="13">
        <f t="shared" si="11"/>
        <v>45716</v>
      </c>
      <c r="V211">
        <v>2</v>
      </c>
    </row>
    <row r="212" spans="5:22" ht="15.75" customHeight="1" x14ac:dyDescent="0.3">
      <c r="E212" s="4" t="s">
        <v>357</v>
      </c>
      <c r="F212" s="5">
        <v>45704</v>
      </c>
      <c r="G212" s="4" t="s">
        <v>15</v>
      </c>
      <c r="H212" s="4" t="s">
        <v>16</v>
      </c>
      <c r="I212" s="4" t="s">
        <v>117</v>
      </c>
      <c r="J212" s="4" t="s">
        <v>118</v>
      </c>
      <c r="K212" s="4" t="s">
        <v>19</v>
      </c>
      <c r="L212" s="4">
        <v>2</v>
      </c>
      <c r="M212" s="4">
        <v>89.99</v>
      </c>
      <c r="N212" s="4" t="s">
        <v>34</v>
      </c>
      <c r="O212" s="4" t="s">
        <v>21</v>
      </c>
      <c r="P212" s="4" t="s">
        <v>22</v>
      </c>
      <c r="Q212" s="5">
        <v>45257</v>
      </c>
      <c r="R212" s="4">
        <v>179.98</v>
      </c>
      <c r="S212" s="12">
        <f t="shared" ca="1" si="9"/>
        <v>46038.591457291666</v>
      </c>
      <c r="T212" s="13">
        <f t="shared" ca="1" si="10"/>
        <v>46038</v>
      </c>
      <c r="U212" s="13">
        <f t="shared" si="11"/>
        <v>45716</v>
      </c>
      <c r="V212">
        <v>1</v>
      </c>
    </row>
    <row r="213" spans="5:22" ht="15.75" customHeight="1" x14ac:dyDescent="0.3">
      <c r="E213" s="4" t="s">
        <v>358</v>
      </c>
      <c r="F213" s="5">
        <v>45705</v>
      </c>
      <c r="G213" s="4" t="s">
        <v>259</v>
      </c>
      <c r="H213" s="4" t="s">
        <v>260</v>
      </c>
      <c r="I213" s="4" t="s">
        <v>44</v>
      </c>
      <c r="J213" s="4" t="s">
        <v>45</v>
      </c>
      <c r="K213" s="4" t="s">
        <v>46</v>
      </c>
      <c r="L213" s="4">
        <v>2</v>
      </c>
      <c r="M213" s="4">
        <v>149.99</v>
      </c>
      <c r="N213" s="4" t="s">
        <v>20</v>
      </c>
      <c r="O213" s="4" t="s">
        <v>35</v>
      </c>
      <c r="P213" s="4" t="s">
        <v>27</v>
      </c>
      <c r="Q213" s="5">
        <v>44728</v>
      </c>
      <c r="R213" s="4">
        <v>299.98</v>
      </c>
      <c r="S213" s="12">
        <f t="shared" ca="1" si="9"/>
        <v>46038.591457291666</v>
      </c>
      <c r="T213" s="13">
        <f t="shared" ca="1" si="10"/>
        <v>46038</v>
      </c>
      <c r="U213" s="13">
        <f t="shared" si="11"/>
        <v>45716</v>
      </c>
      <c r="V213">
        <v>2</v>
      </c>
    </row>
    <row r="214" spans="5:22" ht="15.75" customHeight="1" x14ac:dyDescent="0.3">
      <c r="E214" s="4" t="s">
        <v>359</v>
      </c>
      <c r="F214" s="5">
        <v>45707</v>
      </c>
      <c r="G214" s="4" t="s">
        <v>123</v>
      </c>
      <c r="H214" s="4" t="s">
        <v>124</v>
      </c>
      <c r="I214" s="4" t="s">
        <v>80</v>
      </c>
      <c r="J214" s="4" t="s">
        <v>81</v>
      </c>
      <c r="K214" s="4" t="s">
        <v>19</v>
      </c>
      <c r="L214" s="4">
        <v>5</v>
      </c>
      <c r="M214" s="4">
        <v>699.99</v>
      </c>
      <c r="N214" s="4" t="s">
        <v>34</v>
      </c>
      <c r="O214" s="4" t="s">
        <v>35</v>
      </c>
      <c r="P214" s="4" t="s">
        <v>27</v>
      </c>
      <c r="Q214" s="5">
        <v>45352</v>
      </c>
      <c r="R214" s="4">
        <v>3499.95</v>
      </c>
      <c r="S214" s="12">
        <f t="shared" ca="1" si="9"/>
        <v>46038.591457291666</v>
      </c>
      <c r="T214" s="13">
        <f t="shared" ca="1" si="10"/>
        <v>46038</v>
      </c>
      <c r="U214" s="13">
        <f t="shared" si="11"/>
        <v>45716</v>
      </c>
      <c r="V214">
        <v>0</v>
      </c>
    </row>
    <row r="215" spans="5:22" ht="15.75" customHeight="1" x14ac:dyDescent="0.3">
      <c r="E215" s="4" t="s">
        <v>360</v>
      </c>
      <c r="F215" s="5">
        <v>45707</v>
      </c>
      <c r="G215" s="4" t="s">
        <v>42</v>
      </c>
      <c r="H215" s="4" t="s">
        <v>43</v>
      </c>
      <c r="I215" s="4" t="s">
        <v>44</v>
      </c>
      <c r="J215" s="4" t="s">
        <v>45</v>
      </c>
      <c r="K215" s="4" t="s">
        <v>46</v>
      </c>
      <c r="L215" s="4">
        <v>3</v>
      </c>
      <c r="M215" s="4">
        <v>149.99</v>
      </c>
      <c r="N215" s="4" t="s">
        <v>34</v>
      </c>
      <c r="O215" s="4" t="s">
        <v>21</v>
      </c>
      <c r="P215" s="4" t="s">
        <v>36</v>
      </c>
      <c r="Q215" s="5">
        <v>44633</v>
      </c>
      <c r="R215" s="4">
        <v>449.97</v>
      </c>
      <c r="S215" s="12">
        <f t="shared" ca="1" si="9"/>
        <v>46038.591457291666</v>
      </c>
      <c r="T215" s="13">
        <f t="shared" ca="1" si="10"/>
        <v>46038</v>
      </c>
      <c r="U215" s="13">
        <f t="shared" si="11"/>
        <v>45716</v>
      </c>
      <c r="V215">
        <v>2</v>
      </c>
    </row>
    <row r="216" spans="5:22" ht="15.75" customHeight="1" x14ac:dyDescent="0.3">
      <c r="E216" s="4" t="s">
        <v>361</v>
      </c>
      <c r="F216" s="5">
        <v>45708</v>
      </c>
      <c r="G216" s="4" t="s">
        <v>96</v>
      </c>
      <c r="H216" s="4" t="s">
        <v>97</v>
      </c>
      <c r="I216" s="4" t="s">
        <v>61</v>
      </c>
      <c r="J216" s="4" t="s">
        <v>62</v>
      </c>
      <c r="K216" s="4" t="s">
        <v>19</v>
      </c>
      <c r="L216" s="4">
        <v>3</v>
      </c>
      <c r="M216" s="4">
        <v>899.99</v>
      </c>
      <c r="N216" s="4" t="s">
        <v>20</v>
      </c>
      <c r="O216" s="4" t="s">
        <v>63</v>
      </c>
      <c r="P216" s="4" t="s">
        <v>36</v>
      </c>
      <c r="Q216" s="5">
        <v>44613</v>
      </c>
      <c r="R216" s="4">
        <v>2699.97</v>
      </c>
      <c r="S216" s="12">
        <f t="shared" ca="1" si="9"/>
        <v>46038.591457291666</v>
      </c>
      <c r="T216" s="13">
        <f t="shared" ca="1" si="10"/>
        <v>46038</v>
      </c>
      <c r="U216" s="13">
        <f t="shared" si="11"/>
        <v>45716</v>
      </c>
      <c r="V216">
        <v>2</v>
      </c>
    </row>
    <row r="217" spans="5:22" ht="15.75" customHeight="1" x14ac:dyDescent="0.3">
      <c r="E217" s="4" t="s">
        <v>362</v>
      </c>
      <c r="F217" s="5">
        <v>45708</v>
      </c>
      <c r="G217" s="4" t="s">
        <v>192</v>
      </c>
      <c r="H217" s="4" t="s">
        <v>193</v>
      </c>
      <c r="I217" s="4" t="s">
        <v>126</v>
      </c>
      <c r="J217" s="4" t="s">
        <v>127</v>
      </c>
      <c r="K217" s="4" t="s">
        <v>46</v>
      </c>
      <c r="L217" s="4">
        <v>3</v>
      </c>
      <c r="M217" s="4">
        <v>199.99</v>
      </c>
      <c r="N217" s="4" t="s">
        <v>20</v>
      </c>
      <c r="O217" s="4" t="s">
        <v>50</v>
      </c>
      <c r="P217" s="4" t="s">
        <v>27</v>
      </c>
      <c r="Q217" s="5">
        <v>44823</v>
      </c>
      <c r="R217" s="4">
        <v>599.97</v>
      </c>
      <c r="S217" s="12">
        <f t="shared" ca="1" si="9"/>
        <v>46038.591457291666</v>
      </c>
      <c r="T217" s="13">
        <f t="shared" ca="1" si="10"/>
        <v>46038</v>
      </c>
      <c r="U217" s="13">
        <f t="shared" si="11"/>
        <v>45716</v>
      </c>
      <c r="V217">
        <v>2</v>
      </c>
    </row>
    <row r="218" spans="5:22" ht="15.75" customHeight="1" x14ac:dyDescent="0.3">
      <c r="E218" s="4" t="s">
        <v>363</v>
      </c>
      <c r="F218" s="5">
        <v>45710</v>
      </c>
      <c r="G218" s="4" t="s">
        <v>55</v>
      </c>
      <c r="H218" s="4" t="s">
        <v>56</v>
      </c>
      <c r="I218" s="4" t="s">
        <v>105</v>
      </c>
      <c r="J218" s="4" t="s">
        <v>106</v>
      </c>
      <c r="K218" s="4" t="s">
        <v>46</v>
      </c>
      <c r="L218" s="4">
        <v>5</v>
      </c>
      <c r="M218" s="4">
        <v>299.99</v>
      </c>
      <c r="N218" s="4" t="s">
        <v>20</v>
      </c>
      <c r="O218" s="4" t="s">
        <v>50</v>
      </c>
      <c r="P218" s="4" t="s">
        <v>36</v>
      </c>
      <c r="Q218" s="5">
        <v>45142</v>
      </c>
      <c r="R218" s="4">
        <v>1499.95</v>
      </c>
      <c r="S218" s="12">
        <f t="shared" ca="1" si="9"/>
        <v>46038.591457291666</v>
      </c>
      <c r="T218" s="13">
        <f t="shared" ca="1" si="10"/>
        <v>46038</v>
      </c>
      <c r="U218" s="13">
        <f t="shared" si="11"/>
        <v>45716</v>
      </c>
      <c r="V218">
        <v>1</v>
      </c>
    </row>
    <row r="219" spans="5:22" ht="15.75" customHeight="1" x14ac:dyDescent="0.3">
      <c r="E219" s="4" t="s">
        <v>364</v>
      </c>
      <c r="F219" s="5">
        <v>45710</v>
      </c>
      <c r="G219" s="4" t="s">
        <v>150</v>
      </c>
      <c r="H219" s="4" t="s">
        <v>151</v>
      </c>
      <c r="I219" s="4" t="s">
        <v>80</v>
      </c>
      <c r="J219" s="4" t="s">
        <v>81</v>
      </c>
      <c r="K219" s="4" t="s">
        <v>19</v>
      </c>
      <c r="L219" s="4">
        <v>1</v>
      </c>
      <c r="M219" s="4">
        <v>699.99</v>
      </c>
      <c r="N219" s="4" t="s">
        <v>34</v>
      </c>
      <c r="O219" s="4" t="s">
        <v>50</v>
      </c>
      <c r="P219" s="4" t="s">
        <v>22</v>
      </c>
      <c r="Q219" s="5">
        <v>44934</v>
      </c>
      <c r="R219" s="4">
        <v>699.99</v>
      </c>
      <c r="S219" s="12">
        <f t="shared" ca="1" si="9"/>
        <v>46038.591457291666</v>
      </c>
      <c r="T219" s="13">
        <f t="shared" ca="1" si="10"/>
        <v>46038</v>
      </c>
      <c r="U219" s="13">
        <f t="shared" si="11"/>
        <v>45716</v>
      </c>
      <c r="V219">
        <v>2</v>
      </c>
    </row>
    <row r="220" spans="5:22" ht="15.75" customHeight="1" x14ac:dyDescent="0.3">
      <c r="E220" s="4" t="s">
        <v>365</v>
      </c>
      <c r="F220" s="5">
        <v>45711</v>
      </c>
      <c r="G220" s="4" t="s">
        <v>246</v>
      </c>
      <c r="H220" s="4" t="s">
        <v>247</v>
      </c>
      <c r="I220" s="4" t="s">
        <v>80</v>
      </c>
      <c r="J220" s="4" t="s">
        <v>81</v>
      </c>
      <c r="K220" s="4" t="s">
        <v>19</v>
      </c>
      <c r="L220" s="4">
        <v>1</v>
      </c>
      <c r="M220" s="4">
        <v>699.99</v>
      </c>
      <c r="N220" s="4" t="s">
        <v>20</v>
      </c>
      <c r="O220" s="4" t="s">
        <v>40</v>
      </c>
      <c r="P220" s="4" t="s">
        <v>27</v>
      </c>
      <c r="Q220" s="5">
        <v>44583</v>
      </c>
      <c r="R220" s="4">
        <v>699.99</v>
      </c>
      <c r="S220" s="12">
        <f t="shared" ca="1" si="9"/>
        <v>46038.591457291666</v>
      </c>
      <c r="T220" s="13">
        <f t="shared" ca="1" si="10"/>
        <v>46038</v>
      </c>
      <c r="U220" s="13">
        <f t="shared" si="11"/>
        <v>45716</v>
      </c>
      <c r="V220">
        <v>3</v>
      </c>
    </row>
    <row r="221" spans="5:22" ht="15.75" customHeight="1" x14ac:dyDescent="0.3">
      <c r="E221" s="4" t="s">
        <v>366</v>
      </c>
      <c r="F221" s="5">
        <v>45711</v>
      </c>
      <c r="G221" s="4" t="s">
        <v>325</v>
      </c>
      <c r="H221" s="4" t="s">
        <v>326</v>
      </c>
      <c r="I221" s="4" t="s">
        <v>44</v>
      </c>
      <c r="J221" s="4" t="s">
        <v>45</v>
      </c>
      <c r="K221" s="4" t="s">
        <v>46</v>
      </c>
      <c r="L221" s="4">
        <v>4</v>
      </c>
      <c r="M221" s="4">
        <v>149.99</v>
      </c>
      <c r="N221" s="4" t="s">
        <v>34</v>
      </c>
      <c r="O221" s="4" t="s">
        <v>40</v>
      </c>
      <c r="P221" s="4" t="s">
        <v>27</v>
      </c>
      <c r="Q221" s="5">
        <v>44412</v>
      </c>
      <c r="R221" s="4">
        <v>599.96</v>
      </c>
      <c r="S221" s="12">
        <f t="shared" ca="1" si="9"/>
        <v>46038.591457291666</v>
      </c>
      <c r="T221" s="13">
        <f t="shared" ca="1" si="10"/>
        <v>46038</v>
      </c>
      <c r="U221" s="13">
        <f t="shared" si="11"/>
        <v>45716</v>
      </c>
      <c r="V221">
        <v>3</v>
      </c>
    </row>
    <row r="222" spans="5:22" ht="15.75" customHeight="1" x14ac:dyDescent="0.3">
      <c r="E222" s="4" t="s">
        <v>367</v>
      </c>
      <c r="F222" s="5">
        <v>45711</v>
      </c>
      <c r="G222" s="4" t="s">
        <v>211</v>
      </c>
      <c r="H222" s="4" t="s">
        <v>212</v>
      </c>
      <c r="I222" s="4" t="s">
        <v>117</v>
      </c>
      <c r="J222" s="4" t="s">
        <v>118</v>
      </c>
      <c r="K222" s="4" t="s">
        <v>19</v>
      </c>
      <c r="L222" s="4">
        <v>5</v>
      </c>
      <c r="M222" s="4">
        <v>89.99</v>
      </c>
      <c r="N222" s="4" t="s">
        <v>34</v>
      </c>
      <c r="O222" s="4" t="s">
        <v>50</v>
      </c>
      <c r="P222" s="4" t="s">
        <v>27</v>
      </c>
      <c r="Q222" s="5">
        <v>45140</v>
      </c>
      <c r="R222" s="4">
        <v>449.95</v>
      </c>
      <c r="S222" s="12">
        <f t="shared" ca="1" si="9"/>
        <v>46038.591457291666</v>
      </c>
      <c r="T222" s="13">
        <f t="shared" ca="1" si="10"/>
        <v>46038</v>
      </c>
      <c r="U222" s="13">
        <f t="shared" si="11"/>
        <v>45716</v>
      </c>
      <c r="V222">
        <v>1</v>
      </c>
    </row>
    <row r="223" spans="5:22" ht="15.75" customHeight="1" x14ac:dyDescent="0.3">
      <c r="E223" s="4" t="s">
        <v>368</v>
      </c>
      <c r="F223" s="5">
        <v>45712</v>
      </c>
      <c r="G223" s="4" t="s">
        <v>138</v>
      </c>
      <c r="H223" s="4" t="s">
        <v>139</v>
      </c>
      <c r="I223" s="4" t="s">
        <v>126</v>
      </c>
      <c r="J223" s="4" t="s">
        <v>127</v>
      </c>
      <c r="K223" s="4" t="s">
        <v>46</v>
      </c>
      <c r="L223" s="4">
        <v>2</v>
      </c>
      <c r="M223" s="4">
        <v>199.99</v>
      </c>
      <c r="N223" s="4" t="s">
        <v>20</v>
      </c>
      <c r="O223" s="4" t="s">
        <v>21</v>
      </c>
      <c r="P223" s="4" t="s">
        <v>27</v>
      </c>
      <c r="Q223" s="5">
        <v>44573</v>
      </c>
      <c r="R223" s="4">
        <v>399.98</v>
      </c>
      <c r="S223" s="12">
        <f t="shared" ca="1" si="9"/>
        <v>46038.591457291666</v>
      </c>
      <c r="T223" s="13">
        <f t="shared" ca="1" si="10"/>
        <v>46038</v>
      </c>
      <c r="U223" s="13">
        <f t="shared" si="11"/>
        <v>45716</v>
      </c>
      <c r="V223">
        <v>3</v>
      </c>
    </row>
    <row r="224" spans="5:22" ht="15.75" customHeight="1" x14ac:dyDescent="0.3">
      <c r="E224" s="4" t="s">
        <v>369</v>
      </c>
      <c r="F224" s="5">
        <v>45715</v>
      </c>
      <c r="G224" s="4" t="s">
        <v>259</v>
      </c>
      <c r="H224" s="4" t="s">
        <v>260</v>
      </c>
      <c r="I224" s="4" t="s">
        <v>31</v>
      </c>
      <c r="J224" s="4" t="s">
        <v>32</v>
      </c>
      <c r="K224" s="4" t="s">
        <v>33</v>
      </c>
      <c r="L224" s="4">
        <v>4</v>
      </c>
      <c r="M224" s="4">
        <v>59.99</v>
      </c>
      <c r="N224" s="4" t="s">
        <v>20</v>
      </c>
      <c r="O224" s="4" t="s">
        <v>50</v>
      </c>
      <c r="P224" s="4" t="s">
        <v>36</v>
      </c>
      <c r="Q224" s="5">
        <v>45070</v>
      </c>
      <c r="R224" s="4">
        <v>239.96</v>
      </c>
      <c r="S224" s="12">
        <f t="shared" ca="1" si="9"/>
        <v>46038.591457291666</v>
      </c>
      <c r="T224" s="13">
        <f t="shared" ca="1" si="10"/>
        <v>46038</v>
      </c>
      <c r="U224" s="13">
        <f t="shared" si="11"/>
        <v>45716</v>
      </c>
      <c r="V224">
        <v>1</v>
      </c>
    </row>
    <row r="225" spans="5:22" ht="15.75" customHeight="1" x14ac:dyDescent="0.3">
      <c r="E225" s="4" t="s">
        <v>370</v>
      </c>
      <c r="F225" s="5">
        <v>45715</v>
      </c>
      <c r="G225" s="4" t="s">
        <v>93</v>
      </c>
      <c r="H225" s="4" t="s">
        <v>94</v>
      </c>
      <c r="I225" s="4" t="s">
        <v>105</v>
      </c>
      <c r="J225" s="4" t="s">
        <v>106</v>
      </c>
      <c r="K225" s="4" t="s">
        <v>46</v>
      </c>
      <c r="L225" s="4">
        <v>2</v>
      </c>
      <c r="M225" s="4">
        <v>299.99</v>
      </c>
      <c r="N225" s="4" t="s">
        <v>34</v>
      </c>
      <c r="O225" s="4" t="s">
        <v>35</v>
      </c>
      <c r="P225" s="4" t="s">
        <v>22</v>
      </c>
      <c r="Q225" s="5">
        <v>44576</v>
      </c>
      <c r="R225" s="4">
        <v>599.98</v>
      </c>
      <c r="S225" s="12">
        <f t="shared" ca="1" si="9"/>
        <v>46038.591457291666</v>
      </c>
      <c r="T225" s="13">
        <f t="shared" ca="1" si="10"/>
        <v>46038</v>
      </c>
      <c r="U225" s="13">
        <f t="shared" si="11"/>
        <v>45716</v>
      </c>
      <c r="V225">
        <v>3</v>
      </c>
    </row>
    <row r="226" spans="5:22" ht="15.75" customHeight="1" x14ac:dyDescent="0.3">
      <c r="E226" s="4" t="s">
        <v>371</v>
      </c>
      <c r="F226" s="5">
        <v>45718</v>
      </c>
      <c r="G226" s="4" t="s">
        <v>55</v>
      </c>
      <c r="H226" s="4" t="s">
        <v>56</v>
      </c>
      <c r="I226" s="4" t="s">
        <v>44</v>
      </c>
      <c r="J226" s="4" t="s">
        <v>45</v>
      </c>
      <c r="K226" s="4" t="s">
        <v>46</v>
      </c>
      <c r="L226" s="4">
        <v>2</v>
      </c>
      <c r="M226" s="4">
        <v>149.99</v>
      </c>
      <c r="N226" s="4" t="s">
        <v>20</v>
      </c>
      <c r="O226" s="4" t="s">
        <v>21</v>
      </c>
      <c r="P226" s="4" t="s">
        <v>22</v>
      </c>
      <c r="Q226" s="5">
        <v>45068</v>
      </c>
      <c r="R226" s="4">
        <v>299.98</v>
      </c>
      <c r="S226" s="12">
        <f t="shared" ca="1" si="9"/>
        <v>46038.591457291666</v>
      </c>
      <c r="T226" s="13">
        <f t="shared" ca="1" si="10"/>
        <v>46038</v>
      </c>
      <c r="U226" s="13">
        <f t="shared" si="11"/>
        <v>45747</v>
      </c>
      <c r="V226">
        <v>1</v>
      </c>
    </row>
    <row r="227" spans="5:22" ht="15.75" customHeight="1" x14ac:dyDescent="0.3">
      <c r="E227" s="4" t="s">
        <v>372</v>
      </c>
      <c r="F227" s="5">
        <v>45720</v>
      </c>
      <c r="G227" s="4" t="s">
        <v>226</v>
      </c>
      <c r="H227" s="4" t="s">
        <v>227</v>
      </c>
      <c r="I227" s="4" t="s">
        <v>80</v>
      </c>
      <c r="J227" s="4" t="s">
        <v>81</v>
      </c>
      <c r="K227" s="4" t="s">
        <v>19</v>
      </c>
      <c r="L227" s="4">
        <v>5</v>
      </c>
      <c r="M227" s="4">
        <v>699.99</v>
      </c>
      <c r="N227" s="4" t="s">
        <v>57</v>
      </c>
      <c r="O227" s="4" t="s">
        <v>63</v>
      </c>
      <c r="P227" s="4" t="s">
        <v>27</v>
      </c>
      <c r="Q227" s="5">
        <v>45161</v>
      </c>
      <c r="R227" s="4">
        <v>3499.95</v>
      </c>
      <c r="S227" s="12">
        <f t="shared" ca="1" si="9"/>
        <v>46038.591457291666</v>
      </c>
      <c r="T227" s="13">
        <f t="shared" ca="1" si="10"/>
        <v>46038</v>
      </c>
      <c r="U227" s="13">
        <f t="shared" si="11"/>
        <v>45747</v>
      </c>
      <c r="V227">
        <v>1</v>
      </c>
    </row>
    <row r="228" spans="5:22" ht="15.75" customHeight="1" x14ac:dyDescent="0.3">
      <c r="E228" s="4" t="s">
        <v>373</v>
      </c>
      <c r="F228" s="5">
        <v>45721</v>
      </c>
      <c r="G228" s="4" t="s">
        <v>75</v>
      </c>
      <c r="H228" s="4" t="s">
        <v>76</v>
      </c>
      <c r="I228" s="4" t="s">
        <v>31</v>
      </c>
      <c r="J228" s="4" t="s">
        <v>32</v>
      </c>
      <c r="K228" s="4" t="s">
        <v>33</v>
      </c>
      <c r="L228" s="4">
        <v>5</v>
      </c>
      <c r="M228" s="4">
        <v>59.99</v>
      </c>
      <c r="N228" s="4" t="s">
        <v>20</v>
      </c>
      <c r="O228" s="4" t="s">
        <v>50</v>
      </c>
      <c r="P228" s="4" t="s">
        <v>27</v>
      </c>
      <c r="Q228" s="5">
        <v>45291</v>
      </c>
      <c r="R228" s="4">
        <v>299.95</v>
      </c>
      <c r="S228" s="12">
        <f t="shared" ca="1" si="9"/>
        <v>46038.591457291666</v>
      </c>
      <c r="T228" s="13">
        <f t="shared" ca="1" si="10"/>
        <v>46038</v>
      </c>
      <c r="U228" s="13">
        <f t="shared" si="11"/>
        <v>45747</v>
      </c>
      <c r="V228">
        <v>1</v>
      </c>
    </row>
    <row r="229" spans="5:22" ht="15.75" customHeight="1" x14ac:dyDescent="0.3">
      <c r="E229" s="4" t="s">
        <v>374</v>
      </c>
      <c r="F229" s="5">
        <v>45723</v>
      </c>
      <c r="G229" s="4" t="s">
        <v>15</v>
      </c>
      <c r="H229" s="4" t="s">
        <v>16</v>
      </c>
      <c r="I229" s="4" t="s">
        <v>117</v>
      </c>
      <c r="J229" s="4" t="s">
        <v>118</v>
      </c>
      <c r="K229" s="4" t="s">
        <v>19</v>
      </c>
      <c r="L229" s="4">
        <v>2</v>
      </c>
      <c r="M229" s="4">
        <v>89.99</v>
      </c>
      <c r="N229" s="4" t="s">
        <v>26</v>
      </c>
      <c r="O229" s="4" t="s">
        <v>50</v>
      </c>
      <c r="P229" s="4" t="s">
        <v>27</v>
      </c>
      <c r="Q229" s="5">
        <v>45295</v>
      </c>
      <c r="R229" s="4">
        <v>179.98</v>
      </c>
      <c r="S229" s="12">
        <f t="shared" ca="1" si="9"/>
        <v>46038.591457291666</v>
      </c>
      <c r="T229" s="13">
        <f t="shared" ca="1" si="10"/>
        <v>46038</v>
      </c>
      <c r="U229" s="13">
        <f t="shared" si="11"/>
        <v>45747</v>
      </c>
      <c r="V229">
        <v>1</v>
      </c>
    </row>
    <row r="230" spans="5:22" ht="15.75" customHeight="1" x14ac:dyDescent="0.3">
      <c r="E230" s="4" t="s">
        <v>375</v>
      </c>
      <c r="F230" s="5">
        <v>45723</v>
      </c>
      <c r="G230" s="4" t="s">
        <v>120</v>
      </c>
      <c r="H230" s="4" t="s">
        <v>121</v>
      </c>
      <c r="I230" s="4" t="s">
        <v>17</v>
      </c>
      <c r="J230" s="4" t="s">
        <v>18</v>
      </c>
      <c r="K230" s="4" t="s">
        <v>19</v>
      </c>
      <c r="L230" s="4">
        <v>5</v>
      </c>
      <c r="M230" s="4">
        <v>249.99</v>
      </c>
      <c r="N230" s="4" t="s">
        <v>20</v>
      </c>
      <c r="O230" s="4" t="s">
        <v>63</v>
      </c>
      <c r="P230" s="4" t="s">
        <v>36</v>
      </c>
      <c r="Q230" s="5">
        <v>44540</v>
      </c>
      <c r="R230" s="4">
        <v>1249.95</v>
      </c>
      <c r="S230" s="12">
        <f t="shared" ca="1" si="9"/>
        <v>46038.591457291666</v>
      </c>
      <c r="T230" s="13">
        <f t="shared" ca="1" si="10"/>
        <v>46038</v>
      </c>
      <c r="U230" s="13">
        <f t="shared" si="11"/>
        <v>45747</v>
      </c>
      <c r="V230">
        <v>3</v>
      </c>
    </row>
    <row r="231" spans="5:22" ht="15.75" customHeight="1" x14ac:dyDescent="0.3">
      <c r="E231" s="4" t="s">
        <v>376</v>
      </c>
      <c r="F231" s="5">
        <v>45724</v>
      </c>
      <c r="G231" s="4" t="s">
        <v>226</v>
      </c>
      <c r="H231" s="4" t="s">
        <v>227</v>
      </c>
      <c r="I231" s="4" t="s">
        <v>44</v>
      </c>
      <c r="J231" s="4" t="s">
        <v>45</v>
      </c>
      <c r="K231" s="4" t="s">
        <v>46</v>
      </c>
      <c r="L231" s="4">
        <v>2</v>
      </c>
      <c r="M231" s="4">
        <v>149.99</v>
      </c>
      <c r="N231" s="4" t="s">
        <v>34</v>
      </c>
      <c r="O231" s="4" t="s">
        <v>21</v>
      </c>
      <c r="P231" s="4" t="s">
        <v>27</v>
      </c>
      <c r="Q231" s="5">
        <v>44632</v>
      </c>
      <c r="R231" s="4">
        <v>299.98</v>
      </c>
      <c r="S231" s="12">
        <f t="shared" ca="1" si="9"/>
        <v>46038.591457291666</v>
      </c>
      <c r="T231" s="13">
        <f t="shared" ca="1" si="10"/>
        <v>46038</v>
      </c>
      <c r="U231" s="13">
        <f t="shared" si="11"/>
        <v>45747</v>
      </c>
      <c r="V231">
        <v>2</v>
      </c>
    </row>
    <row r="232" spans="5:22" ht="15.75" customHeight="1" x14ac:dyDescent="0.3">
      <c r="E232" s="4" t="s">
        <v>377</v>
      </c>
      <c r="F232" s="5">
        <v>45724</v>
      </c>
      <c r="G232" s="4" t="s">
        <v>144</v>
      </c>
      <c r="H232" s="4" t="s">
        <v>145</v>
      </c>
      <c r="I232" s="4" t="s">
        <v>61</v>
      </c>
      <c r="J232" s="4" t="s">
        <v>62</v>
      </c>
      <c r="K232" s="4" t="s">
        <v>19</v>
      </c>
      <c r="L232" s="4">
        <v>5</v>
      </c>
      <c r="M232" s="4">
        <v>899.99</v>
      </c>
      <c r="N232" s="4" t="s">
        <v>34</v>
      </c>
      <c r="O232" s="4" t="s">
        <v>63</v>
      </c>
      <c r="P232" s="4" t="s">
        <v>27</v>
      </c>
      <c r="Q232" s="5">
        <v>45389</v>
      </c>
      <c r="R232" s="4">
        <v>4499.95</v>
      </c>
      <c r="S232" s="12">
        <f t="shared" ca="1" si="9"/>
        <v>46038.591457291666</v>
      </c>
      <c r="T232" s="13">
        <f t="shared" ca="1" si="10"/>
        <v>46038</v>
      </c>
      <c r="U232" s="13">
        <f t="shared" si="11"/>
        <v>45747</v>
      </c>
      <c r="V232">
        <v>0</v>
      </c>
    </row>
    <row r="233" spans="5:22" ht="15.75" customHeight="1" x14ac:dyDescent="0.3">
      <c r="E233" s="4" t="s">
        <v>378</v>
      </c>
      <c r="F233" s="5">
        <v>45724</v>
      </c>
      <c r="G233" s="4" t="s">
        <v>55</v>
      </c>
      <c r="H233" s="4" t="s">
        <v>56</v>
      </c>
      <c r="I233" s="4" t="s">
        <v>44</v>
      </c>
      <c r="J233" s="4" t="s">
        <v>45</v>
      </c>
      <c r="K233" s="4" t="s">
        <v>46</v>
      </c>
      <c r="L233" s="4">
        <v>4</v>
      </c>
      <c r="M233" s="4">
        <v>149.99</v>
      </c>
      <c r="N233" s="4" t="s">
        <v>20</v>
      </c>
      <c r="O233" s="4" t="s">
        <v>21</v>
      </c>
      <c r="P233" s="4" t="s">
        <v>36</v>
      </c>
      <c r="Q233" s="5">
        <v>45263</v>
      </c>
      <c r="R233" s="4">
        <v>599.96</v>
      </c>
      <c r="S233" s="12">
        <f t="shared" ca="1" si="9"/>
        <v>46038.591457291666</v>
      </c>
      <c r="T233" s="13">
        <f t="shared" ca="1" si="10"/>
        <v>46038</v>
      </c>
      <c r="U233" s="13">
        <f t="shared" si="11"/>
        <v>45747</v>
      </c>
      <c r="V233">
        <v>1</v>
      </c>
    </row>
    <row r="234" spans="5:22" ht="15.75" customHeight="1" x14ac:dyDescent="0.3">
      <c r="E234" s="4" t="s">
        <v>379</v>
      </c>
      <c r="F234" s="5">
        <v>45726</v>
      </c>
      <c r="G234" s="4" t="s">
        <v>144</v>
      </c>
      <c r="H234" s="4" t="s">
        <v>145</v>
      </c>
      <c r="I234" s="4" t="s">
        <v>17</v>
      </c>
      <c r="J234" s="4" t="s">
        <v>18</v>
      </c>
      <c r="K234" s="4" t="s">
        <v>19</v>
      </c>
      <c r="L234" s="4">
        <v>1</v>
      </c>
      <c r="M234" s="4">
        <v>249.99</v>
      </c>
      <c r="N234" s="4" t="s">
        <v>20</v>
      </c>
      <c r="O234" s="4" t="s">
        <v>40</v>
      </c>
      <c r="P234" s="4" t="s">
        <v>36</v>
      </c>
      <c r="Q234" s="5">
        <v>45117</v>
      </c>
      <c r="R234" s="4">
        <v>249.99</v>
      </c>
      <c r="S234" s="12">
        <f t="shared" ca="1" si="9"/>
        <v>46038.591457291666</v>
      </c>
      <c r="T234" s="13">
        <f t="shared" ca="1" si="10"/>
        <v>46038</v>
      </c>
      <c r="U234" s="13">
        <f t="shared" si="11"/>
        <v>45747</v>
      </c>
      <c r="V234">
        <v>1</v>
      </c>
    </row>
    <row r="235" spans="5:22" ht="15.75" customHeight="1" x14ac:dyDescent="0.3">
      <c r="E235" s="4" t="s">
        <v>380</v>
      </c>
      <c r="F235" s="5">
        <v>45734</v>
      </c>
      <c r="G235" s="4" t="s">
        <v>192</v>
      </c>
      <c r="H235" s="4" t="s">
        <v>193</v>
      </c>
      <c r="I235" s="4" t="s">
        <v>31</v>
      </c>
      <c r="J235" s="4" t="s">
        <v>32</v>
      </c>
      <c r="K235" s="4" t="s">
        <v>33</v>
      </c>
      <c r="L235" s="4">
        <v>2</v>
      </c>
      <c r="M235" s="4">
        <v>59.99</v>
      </c>
      <c r="N235" s="4" t="s">
        <v>26</v>
      </c>
      <c r="O235" s="4" t="s">
        <v>50</v>
      </c>
      <c r="P235" s="4" t="s">
        <v>22</v>
      </c>
      <c r="Q235" s="5">
        <v>45193</v>
      </c>
      <c r="R235" s="4">
        <v>119.98</v>
      </c>
      <c r="S235" s="12">
        <f t="shared" ca="1" si="9"/>
        <v>46038.591457291666</v>
      </c>
      <c r="T235" s="13">
        <f t="shared" ca="1" si="10"/>
        <v>46038</v>
      </c>
      <c r="U235" s="13">
        <f t="shared" si="11"/>
        <v>45747</v>
      </c>
      <c r="V235">
        <v>1</v>
      </c>
    </row>
    <row r="236" spans="5:22" ht="15.75" customHeight="1" x14ac:dyDescent="0.3">
      <c r="E236" s="4" t="s">
        <v>381</v>
      </c>
      <c r="F236" s="5">
        <v>45737</v>
      </c>
      <c r="G236" s="4" t="s">
        <v>132</v>
      </c>
      <c r="H236" s="4" t="s">
        <v>133</v>
      </c>
      <c r="I236" s="4" t="s">
        <v>44</v>
      </c>
      <c r="J236" s="4" t="s">
        <v>45</v>
      </c>
      <c r="K236" s="4" t="s">
        <v>46</v>
      </c>
      <c r="L236" s="4">
        <v>2</v>
      </c>
      <c r="M236" s="4">
        <v>149.99</v>
      </c>
      <c r="N236" s="4" t="s">
        <v>20</v>
      </c>
      <c r="O236" s="4" t="s">
        <v>50</v>
      </c>
      <c r="P236" s="4" t="s">
        <v>27</v>
      </c>
      <c r="Q236" s="5">
        <v>45233</v>
      </c>
      <c r="R236" s="4">
        <v>299.98</v>
      </c>
      <c r="S236" s="12">
        <f t="shared" ca="1" si="9"/>
        <v>46038.591457291666</v>
      </c>
      <c r="T236" s="13">
        <f t="shared" ca="1" si="10"/>
        <v>46038</v>
      </c>
      <c r="U236" s="13">
        <f t="shared" si="11"/>
        <v>45747</v>
      </c>
      <c r="V236">
        <v>1</v>
      </c>
    </row>
    <row r="237" spans="5:22" ht="15.75" customHeight="1" x14ac:dyDescent="0.3">
      <c r="E237" s="4" t="s">
        <v>382</v>
      </c>
      <c r="F237" s="5">
        <v>45737</v>
      </c>
      <c r="G237" s="4" t="s">
        <v>150</v>
      </c>
      <c r="H237" s="4" t="s">
        <v>151</v>
      </c>
      <c r="I237" s="4" t="s">
        <v>61</v>
      </c>
      <c r="J237" s="4" t="s">
        <v>62</v>
      </c>
      <c r="K237" s="4" t="s">
        <v>19</v>
      </c>
      <c r="L237" s="4">
        <v>3</v>
      </c>
      <c r="M237" s="4">
        <v>899.99</v>
      </c>
      <c r="N237" s="4" t="s">
        <v>57</v>
      </c>
      <c r="O237" s="4" t="s">
        <v>40</v>
      </c>
      <c r="P237" s="4" t="s">
        <v>27</v>
      </c>
      <c r="Q237" s="5">
        <v>44876</v>
      </c>
      <c r="R237" s="4">
        <v>2699.97</v>
      </c>
      <c r="S237" s="12">
        <f t="shared" ca="1" si="9"/>
        <v>46038.591457291666</v>
      </c>
      <c r="T237" s="13">
        <f t="shared" ca="1" si="10"/>
        <v>46038</v>
      </c>
      <c r="U237" s="13">
        <f t="shared" si="11"/>
        <v>45747</v>
      </c>
      <c r="V237">
        <v>2</v>
      </c>
    </row>
    <row r="238" spans="5:22" ht="15.75" customHeight="1" x14ac:dyDescent="0.3">
      <c r="E238" s="4" t="s">
        <v>383</v>
      </c>
      <c r="F238" s="5">
        <v>45737</v>
      </c>
      <c r="G238" s="4" t="s">
        <v>48</v>
      </c>
      <c r="H238" s="4" t="s">
        <v>49</v>
      </c>
      <c r="I238" s="4" t="s">
        <v>61</v>
      </c>
      <c r="J238" s="4" t="s">
        <v>62</v>
      </c>
      <c r="K238" s="4" t="s">
        <v>19</v>
      </c>
      <c r="L238" s="4">
        <v>3</v>
      </c>
      <c r="M238" s="4">
        <v>899.99</v>
      </c>
      <c r="N238" s="4" t="s">
        <v>34</v>
      </c>
      <c r="O238" s="4" t="s">
        <v>40</v>
      </c>
      <c r="P238" s="4" t="s">
        <v>22</v>
      </c>
      <c r="Q238" s="5">
        <v>44975</v>
      </c>
      <c r="R238" s="4">
        <v>2699.97</v>
      </c>
      <c r="S238" s="12">
        <f t="shared" ca="1" si="9"/>
        <v>46038.591457291666</v>
      </c>
      <c r="T238" s="13">
        <f t="shared" ca="1" si="10"/>
        <v>46038</v>
      </c>
      <c r="U238" s="13">
        <f t="shared" si="11"/>
        <v>45747</v>
      </c>
      <c r="V238">
        <v>2</v>
      </c>
    </row>
    <row r="239" spans="5:22" ht="15.75" customHeight="1" x14ac:dyDescent="0.3">
      <c r="E239" s="4" t="s">
        <v>384</v>
      </c>
      <c r="F239" s="5">
        <v>45739</v>
      </c>
      <c r="G239" s="4" t="s">
        <v>15</v>
      </c>
      <c r="H239" s="4" t="s">
        <v>16</v>
      </c>
      <c r="I239" s="4" t="s">
        <v>105</v>
      </c>
      <c r="J239" s="4" t="s">
        <v>106</v>
      </c>
      <c r="K239" s="4" t="s">
        <v>46</v>
      </c>
      <c r="L239" s="4">
        <v>3</v>
      </c>
      <c r="M239" s="4">
        <v>299.99</v>
      </c>
      <c r="N239" s="4" t="s">
        <v>26</v>
      </c>
      <c r="O239" s="4" t="s">
        <v>50</v>
      </c>
      <c r="P239" s="4" t="s">
        <v>27</v>
      </c>
      <c r="Q239" s="5">
        <v>45234</v>
      </c>
      <c r="R239" s="4">
        <v>899.97</v>
      </c>
      <c r="S239" s="12">
        <f t="shared" ca="1" si="9"/>
        <v>46038.591457291666</v>
      </c>
      <c r="T239" s="13">
        <f t="shared" ca="1" si="10"/>
        <v>46038</v>
      </c>
      <c r="U239" s="13">
        <f t="shared" si="11"/>
        <v>45747</v>
      </c>
      <c r="V239">
        <v>1</v>
      </c>
    </row>
    <row r="240" spans="5:22" ht="15.75" customHeight="1" x14ac:dyDescent="0.3">
      <c r="E240" s="4" t="s">
        <v>385</v>
      </c>
      <c r="F240" s="5">
        <v>45740</v>
      </c>
      <c r="G240" s="4" t="s">
        <v>386</v>
      </c>
      <c r="H240" s="4" t="s">
        <v>387</v>
      </c>
      <c r="I240" s="4" t="s">
        <v>44</v>
      </c>
      <c r="J240" s="4" t="s">
        <v>45</v>
      </c>
      <c r="K240" s="4" t="s">
        <v>46</v>
      </c>
      <c r="L240" s="4">
        <v>4</v>
      </c>
      <c r="M240" s="4">
        <v>149.99</v>
      </c>
      <c r="N240" s="4" t="s">
        <v>34</v>
      </c>
      <c r="O240" s="4" t="s">
        <v>50</v>
      </c>
      <c r="P240" s="4" t="s">
        <v>36</v>
      </c>
      <c r="Q240" s="5">
        <v>44560</v>
      </c>
      <c r="R240" s="4">
        <v>599.96</v>
      </c>
      <c r="S240" s="12">
        <f t="shared" ca="1" si="9"/>
        <v>46038.591457291666</v>
      </c>
      <c r="T240" s="13">
        <f t="shared" ca="1" si="10"/>
        <v>46038</v>
      </c>
      <c r="U240" s="13">
        <f t="shared" si="11"/>
        <v>45747</v>
      </c>
      <c r="V240">
        <v>3</v>
      </c>
    </row>
    <row r="241" spans="5:22" ht="15.75" customHeight="1" x14ac:dyDescent="0.3">
      <c r="E241" s="4" t="s">
        <v>388</v>
      </c>
      <c r="F241" s="5">
        <v>45743</v>
      </c>
      <c r="G241" s="4" t="s">
        <v>102</v>
      </c>
      <c r="H241" s="4" t="s">
        <v>103</v>
      </c>
      <c r="I241" s="4" t="s">
        <v>114</v>
      </c>
      <c r="J241" s="4" t="s">
        <v>115</v>
      </c>
      <c r="K241" s="4" t="s">
        <v>33</v>
      </c>
      <c r="L241" s="4">
        <v>4</v>
      </c>
      <c r="M241" s="4">
        <v>79.989999999999995</v>
      </c>
      <c r="N241" s="4" t="s">
        <v>26</v>
      </c>
      <c r="O241" s="4" t="s">
        <v>21</v>
      </c>
      <c r="P241" s="4" t="s">
        <v>22</v>
      </c>
      <c r="Q241" s="5">
        <v>45288</v>
      </c>
      <c r="R241" s="4">
        <v>319.95999999999998</v>
      </c>
      <c r="S241" s="12">
        <f t="shared" ca="1" si="9"/>
        <v>46038.591457291666</v>
      </c>
      <c r="T241" s="13">
        <f t="shared" ca="1" si="10"/>
        <v>46038</v>
      </c>
      <c r="U241" s="13">
        <f t="shared" si="11"/>
        <v>45747</v>
      </c>
      <c r="V241">
        <v>1</v>
      </c>
    </row>
    <row r="242" spans="5:22" ht="15.75" customHeight="1" x14ac:dyDescent="0.3">
      <c r="E242" s="4" t="s">
        <v>389</v>
      </c>
      <c r="F242" s="5">
        <v>45745</v>
      </c>
      <c r="G242" s="4" t="s">
        <v>185</v>
      </c>
      <c r="H242" s="4" t="s">
        <v>186</v>
      </c>
      <c r="I242" s="4" t="s">
        <v>117</v>
      </c>
      <c r="J242" s="4" t="s">
        <v>118</v>
      </c>
      <c r="K242" s="4" t="s">
        <v>19</v>
      </c>
      <c r="L242" s="4">
        <v>5</v>
      </c>
      <c r="M242" s="4">
        <v>89.99</v>
      </c>
      <c r="N242" s="4" t="s">
        <v>34</v>
      </c>
      <c r="O242" s="4" t="s">
        <v>35</v>
      </c>
      <c r="P242" s="4" t="s">
        <v>22</v>
      </c>
      <c r="Q242" s="5">
        <v>44704</v>
      </c>
      <c r="R242" s="4">
        <v>449.95</v>
      </c>
      <c r="S242" s="12">
        <f t="shared" ca="1" si="9"/>
        <v>46038.591457291666</v>
      </c>
      <c r="T242" s="13">
        <f t="shared" ca="1" si="10"/>
        <v>46038</v>
      </c>
      <c r="U242" s="13">
        <f t="shared" si="11"/>
        <v>45747</v>
      </c>
      <c r="V242">
        <v>2</v>
      </c>
    </row>
    <row r="243" spans="5:22" ht="15.75" customHeight="1" x14ac:dyDescent="0.3">
      <c r="E243" s="4" t="s">
        <v>390</v>
      </c>
      <c r="F243" s="5">
        <v>45746</v>
      </c>
      <c r="G243" s="4" t="s">
        <v>93</v>
      </c>
      <c r="H243" s="4" t="s">
        <v>94</v>
      </c>
      <c r="I243" s="4" t="s">
        <v>44</v>
      </c>
      <c r="J243" s="4" t="s">
        <v>45</v>
      </c>
      <c r="K243" s="4" t="s">
        <v>46</v>
      </c>
      <c r="L243" s="4">
        <v>3</v>
      </c>
      <c r="M243" s="4">
        <v>149.99</v>
      </c>
      <c r="N243" s="4" t="s">
        <v>34</v>
      </c>
      <c r="O243" s="4" t="s">
        <v>21</v>
      </c>
      <c r="P243" s="4" t="s">
        <v>36</v>
      </c>
      <c r="Q243" s="5">
        <v>45171</v>
      </c>
      <c r="R243" s="4">
        <v>449.97</v>
      </c>
      <c r="S243" s="12">
        <f t="shared" ca="1" si="9"/>
        <v>46038.591457291666</v>
      </c>
      <c r="T243" s="13">
        <f t="shared" ca="1" si="10"/>
        <v>46038</v>
      </c>
      <c r="U243" s="13">
        <f t="shared" si="11"/>
        <v>45747</v>
      </c>
      <c r="V243">
        <v>1</v>
      </c>
    </row>
    <row r="244" spans="5:22" ht="15.75" customHeight="1" x14ac:dyDescent="0.3">
      <c r="E244" s="4" t="s">
        <v>391</v>
      </c>
      <c r="F244" s="5">
        <v>45746</v>
      </c>
      <c r="G244" s="4" t="s">
        <v>65</v>
      </c>
      <c r="H244" s="4" t="s">
        <v>66</v>
      </c>
      <c r="I244" s="4" t="s">
        <v>117</v>
      </c>
      <c r="J244" s="4" t="s">
        <v>118</v>
      </c>
      <c r="K244" s="4" t="s">
        <v>19</v>
      </c>
      <c r="L244" s="4">
        <v>2</v>
      </c>
      <c r="M244" s="4">
        <v>89.99</v>
      </c>
      <c r="N244" s="4" t="s">
        <v>57</v>
      </c>
      <c r="O244" s="4" t="s">
        <v>50</v>
      </c>
      <c r="P244" s="4" t="s">
        <v>27</v>
      </c>
      <c r="Q244" s="5">
        <v>44522</v>
      </c>
      <c r="R244" s="4">
        <v>179.98</v>
      </c>
      <c r="S244" s="12">
        <f t="shared" ca="1" si="9"/>
        <v>46038.591457291666</v>
      </c>
      <c r="T244" s="13">
        <f t="shared" ca="1" si="10"/>
        <v>46038</v>
      </c>
      <c r="U244" s="13">
        <f t="shared" si="11"/>
        <v>45747</v>
      </c>
      <c r="V244">
        <v>3</v>
      </c>
    </row>
    <row r="245" spans="5:22" ht="15.75" customHeight="1" x14ac:dyDescent="0.3">
      <c r="E245" s="4" t="s">
        <v>392</v>
      </c>
      <c r="F245" s="5">
        <v>45748</v>
      </c>
      <c r="G245" s="4" t="s">
        <v>102</v>
      </c>
      <c r="H245" s="4" t="s">
        <v>103</v>
      </c>
      <c r="I245" s="4" t="s">
        <v>80</v>
      </c>
      <c r="J245" s="4" t="s">
        <v>81</v>
      </c>
      <c r="K245" s="4" t="s">
        <v>19</v>
      </c>
      <c r="L245" s="4">
        <v>2</v>
      </c>
      <c r="M245" s="4">
        <v>699.99</v>
      </c>
      <c r="N245" s="4" t="s">
        <v>34</v>
      </c>
      <c r="O245" s="4" t="s">
        <v>40</v>
      </c>
      <c r="P245" s="4" t="s">
        <v>36</v>
      </c>
      <c r="Q245" s="5">
        <v>44618</v>
      </c>
      <c r="R245" s="4">
        <v>1399.98</v>
      </c>
      <c r="S245" s="12">
        <f t="shared" ca="1" si="9"/>
        <v>46038.591457291666</v>
      </c>
      <c r="T245" s="13">
        <f t="shared" ca="1" si="10"/>
        <v>46038</v>
      </c>
      <c r="U245" s="13">
        <f t="shared" si="11"/>
        <v>45777</v>
      </c>
      <c r="V245">
        <v>3</v>
      </c>
    </row>
    <row r="246" spans="5:22" ht="15.75" customHeight="1" x14ac:dyDescent="0.3">
      <c r="E246" s="4" t="s">
        <v>393</v>
      </c>
      <c r="F246" s="5">
        <v>45749</v>
      </c>
      <c r="G246" s="4" t="s">
        <v>123</v>
      </c>
      <c r="H246" s="4" t="s">
        <v>124</v>
      </c>
      <c r="I246" s="4" t="s">
        <v>61</v>
      </c>
      <c r="J246" s="4" t="s">
        <v>62</v>
      </c>
      <c r="K246" s="4" t="s">
        <v>19</v>
      </c>
      <c r="L246" s="4">
        <v>3</v>
      </c>
      <c r="M246" s="4">
        <v>899.99</v>
      </c>
      <c r="N246" s="4" t="s">
        <v>20</v>
      </c>
      <c r="O246" s="4" t="s">
        <v>21</v>
      </c>
      <c r="P246" s="4" t="s">
        <v>36</v>
      </c>
      <c r="Q246" s="5">
        <v>44953</v>
      </c>
      <c r="R246" s="4">
        <v>2699.97</v>
      </c>
      <c r="S246" s="12">
        <f t="shared" ca="1" si="9"/>
        <v>46038.591457291666</v>
      </c>
      <c r="T246" s="13">
        <f t="shared" ca="1" si="10"/>
        <v>46038</v>
      </c>
      <c r="U246" s="13">
        <f t="shared" si="11"/>
        <v>45777</v>
      </c>
      <c r="V246">
        <v>2</v>
      </c>
    </row>
    <row r="247" spans="5:22" ht="15.75" customHeight="1" x14ac:dyDescent="0.3">
      <c r="E247" s="4" t="s">
        <v>394</v>
      </c>
      <c r="F247" s="5">
        <v>45755</v>
      </c>
      <c r="G247" s="4" t="s">
        <v>93</v>
      </c>
      <c r="H247" s="4" t="s">
        <v>94</v>
      </c>
      <c r="I247" s="4" t="s">
        <v>114</v>
      </c>
      <c r="J247" s="4" t="s">
        <v>115</v>
      </c>
      <c r="K247" s="4" t="s">
        <v>33</v>
      </c>
      <c r="L247" s="4">
        <v>3</v>
      </c>
      <c r="M247" s="4">
        <v>79.989999999999995</v>
      </c>
      <c r="N247" s="4" t="s">
        <v>26</v>
      </c>
      <c r="O247" s="4" t="s">
        <v>40</v>
      </c>
      <c r="P247" s="4" t="s">
        <v>22</v>
      </c>
      <c r="Q247" s="5">
        <v>44511</v>
      </c>
      <c r="R247" s="4">
        <v>239.97</v>
      </c>
      <c r="S247" s="12">
        <f t="shared" ca="1" si="9"/>
        <v>46038.591457291666</v>
      </c>
      <c r="T247" s="13">
        <f t="shared" ca="1" si="10"/>
        <v>46038</v>
      </c>
      <c r="U247" s="13">
        <f t="shared" si="11"/>
        <v>45777</v>
      </c>
      <c r="V247">
        <v>3</v>
      </c>
    </row>
    <row r="248" spans="5:22" ht="15.75" customHeight="1" x14ac:dyDescent="0.3">
      <c r="E248" s="4" t="s">
        <v>395</v>
      </c>
      <c r="F248" s="5">
        <v>45756</v>
      </c>
      <c r="G248" s="4" t="s">
        <v>59</v>
      </c>
      <c r="H248" s="4" t="s">
        <v>60</v>
      </c>
      <c r="I248" s="4" t="s">
        <v>117</v>
      </c>
      <c r="J248" s="4" t="s">
        <v>118</v>
      </c>
      <c r="K248" s="4" t="s">
        <v>19</v>
      </c>
      <c r="L248" s="4">
        <v>1</v>
      </c>
      <c r="M248" s="4">
        <v>89.99</v>
      </c>
      <c r="N248" s="4" t="s">
        <v>57</v>
      </c>
      <c r="O248" s="4" t="s">
        <v>63</v>
      </c>
      <c r="P248" s="4" t="s">
        <v>22</v>
      </c>
      <c r="Q248" s="5">
        <v>45346</v>
      </c>
      <c r="R248" s="4">
        <v>89.99</v>
      </c>
      <c r="S248" s="12">
        <f t="shared" ca="1" si="9"/>
        <v>46038.591457291666</v>
      </c>
      <c r="T248" s="13">
        <f t="shared" ca="1" si="10"/>
        <v>46038</v>
      </c>
      <c r="U248" s="13">
        <f t="shared" si="11"/>
        <v>45777</v>
      </c>
      <c r="V248">
        <v>1</v>
      </c>
    </row>
    <row r="249" spans="5:22" ht="15.75" customHeight="1" x14ac:dyDescent="0.3">
      <c r="E249" s="4" t="s">
        <v>396</v>
      </c>
      <c r="F249" s="5">
        <v>45758</v>
      </c>
      <c r="G249" s="4" t="s">
        <v>293</v>
      </c>
      <c r="H249" s="4" t="s">
        <v>294</v>
      </c>
      <c r="I249" s="4" t="s">
        <v>80</v>
      </c>
      <c r="J249" s="4" t="s">
        <v>81</v>
      </c>
      <c r="K249" s="4" t="s">
        <v>19</v>
      </c>
      <c r="L249" s="4">
        <v>3</v>
      </c>
      <c r="M249" s="4">
        <v>699.99</v>
      </c>
      <c r="N249" s="4" t="s">
        <v>34</v>
      </c>
      <c r="O249" s="4" t="s">
        <v>40</v>
      </c>
      <c r="P249" s="4" t="s">
        <v>22</v>
      </c>
      <c r="Q249" s="5">
        <v>44909</v>
      </c>
      <c r="R249" s="4">
        <v>2099.9699999999998</v>
      </c>
      <c r="S249" s="12">
        <f t="shared" ca="1" si="9"/>
        <v>46038.591457291666</v>
      </c>
      <c r="T249" s="13">
        <f t="shared" ca="1" si="10"/>
        <v>46038</v>
      </c>
      <c r="U249" s="13">
        <f t="shared" si="11"/>
        <v>45777</v>
      </c>
      <c r="V249">
        <v>2</v>
      </c>
    </row>
    <row r="250" spans="5:22" ht="15.75" customHeight="1" x14ac:dyDescent="0.3">
      <c r="E250" s="4" t="s">
        <v>397</v>
      </c>
      <c r="F250" s="5">
        <v>45758</v>
      </c>
      <c r="G250" s="4" t="s">
        <v>226</v>
      </c>
      <c r="H250" s="4" t="s">
        <v>227</v>
      </c>
      <c r="I250" s="4" t="s">
        <v>117</v>
      </c>
      <c r="J250" s="4" t="s">
        <v>118</v>
      </c>
      <c r="K250" s="4" t="s">
        <v>19</v>
      </c>
      <c r="L250" s="4">
        <v>2</v>
      </c>
      <c r="M250" s="4">
        <v>89.99</v>
      </c>
      <c r="N250" s="4" t="s">
        <v>57</v>
      </c>
      <c r="O250" s="4" t="s">
        <v>63</v>
      </c>
      <c r="P250" s="4" t="s">
        <v>22</v>
      </c>
      <c r="Q250" s="5">
        <v>45088</v>
      </c>
      <c r="R250" s="4">
        <v>179.98</v>
      </c>
      <c r="S250" s="12">
        <f t="shared" ca="1" si="9"/>
        <v>46038.591457291666</v>
      </c>
      <c r="T250" s="13">
        <f t="shared" ca="1" si="10"/>
        <v>46038</v>
      </c>
      <c r="U250" s="13">
        <f t="shared" si="11"/>
        <v>45777</v>
      </c>
      <c r="V250">
        <v>1</v>
      </c>
    </row>
    <row r="251" spans="5:22" ht="15.75" customHeight="1" x14ac:dyDescent="0.3">
      <c r="E251" s="4" t="s">
        <v>398</v>
      </c>
      <c r="F251" s="5">
        <v>45758</v>
      </c>
      <c r="G251" s="4" t="s">
        <v>138</v>
      </c>
      <c r="H251" s="4" t="s">
        <v>139</v>
      </c>
      <c r="I251" s="4" t="s">
        <v>117</v>
      </c>
      <c r="J251" s="4" t="s">
        <v>118</v>
      </c>
      <c r="K251" s="4" t="s">
        <v>19</v>
      </c>
      <c r="L251" s="4">
        <v>3</v>
      </c>
      <c r="M251" s="4">
        <v>89.99</v>
      </c>
      <c r="N251" s="4" t="s">
        <v>57</v>
      </c>
      <c r="O251" s="4" t="s">
        <v>40</v>
      </c>
      <c r="P251" s="4" t="s">
        <v>27</v>
      </c>
      <c r="Q251" s="5">
        <v>44878</v>
      </c>
      <c r="R251" s="4">
        <v>269.97000000000003</v>
      </c>
      <c r="S251" s="12">
        <f t="shared" ca="1" si="9"/>
        <v>46038.591457291666</v>
      </c>
      <c r="T251" s="13">
        <f t="shared" ca="1" si="10"/>
        <v>46038</v>
      </c>
      <c r="U251" s="13">
        <f t="shared" si="11"/>
        <v>45777</v>
      </c>
      <c r="V251">
        <v>2</v>
      </c>
    </row>
    <row r="252" spans="5:22" ht="15.75" customHeight="1" x14ac:dyDescent="0.3"/>
    <row r="253" spans="5:22" ht="15.75" customHeight="1" x14ac:dyDescent="0.3"/>
    <row r="254" spans="5:22" ht="15.75" customHeight="1" x14ac:dyDescent="0.3"/>
    <row r="255" spans="5:22" ht="15.75" customHeight="1" x14ac:dyDescent="0.3"/>
    <row r="256" spans="5: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cenario name="High price" locked="1" count="19" user="kajal" comment="price">
      <inputCells r="M2" val="250"/>
      <inputCells r="M3" val="250"/>
      <inputCells r="M4" val="60"/>
      <inputCells r="M5" val="60"/>
      <inputCells r="M6" val="150"/>
      <inputCells r="M7" val="60"/>
      <inputCells r="M8" val="149.99"/>
      <inputCells r="M9" val="59.99"/>
      <inputCells r="M10" val="899.99"/>
      <inputCells r="M11" val="59.99"/>
      <inputCells r="M12" val="149.99"/>
      <inputCells r="M13" val="149.99"/>
      <inputCells r="M14" val="149.99"/>
      <inputCells r="M15" val="59.99"/>
      <inputCells r="M16" val="699.99"/>
      <inputCells r="M17" val="899.99"/>
      <inputCells r="M18" val="149.99"/>
      <inputCells r="M19" val="699.99"/>
      <inputCells r="M20" val="899.99"/>
    </scenario>
  </scenario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Instructions</vt:lpstr>
      <vt:lpstr>Regression</vt:lpstr>
      <vt:lpstr>Region</vt:lpstr>
      <vt:lpstr>Category</vt:lpstr>
      <vt:lpstr>years of Amount</vt:lpstr>
      <vt:lpstr>customer segment</vt:lpstr>
      <vt:lpstr>Product name</vt:lpstr>
      <vt:lpstr>Sheet5</vt:lpstr>
      <vt:lpstr>Final Project Dataset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kajalharijan07@outlook.com</cp:lastModifiedBy>
  <dcterms:created xsi:type="dcterms:W3CDTF">2026-01-08T06:24:01Z</dcterms:created>
  <dcterms:modified xsi:type="dcterms:W3CDTF">2026-01-16T08:41:42Z</dcterms:modified>
</cp:coreProperties>
</file>